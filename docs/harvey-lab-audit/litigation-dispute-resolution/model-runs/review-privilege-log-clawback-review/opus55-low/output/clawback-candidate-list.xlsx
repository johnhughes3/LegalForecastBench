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Full Log Assessment" sheetId="2" state="visible" r:id="rId4"/>
    <sheet name="Clawback Candidates" sheetId="3" state="visible" r:id="rId5"/>
    <sheet name="Log Corrections" sheetId="4" state="visible" r:id="rId6"/>
  </sheets>
  <definedNames>
    <definedName function="false" hidden="true" localSheetId="1" name="_xlnm._FilterDatabase" vbProcedure="false">'Full Log Assessment'!$A$1:$O$313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<sst xmlns="http://schemas.openxmlformats.org/spreadsheetml/2006/main" count="4108" uniqueCount="1597">
  <si>
    <t xml:space="preserve">Thornfield Industries - Privilege Log Defensibility Review</t>
  </si>
  <si>
    <t xml:space="preserve">Meridian Environmental Coalition et al. v. Thornfield Industries, Inc. et al., No. 2:20-cv-04187-KSH-CLW (D.N.J.) - Privileged &amp; Confidential / Attorney Work Product</t>
  </si>
  <si>
    <t xml:space="preserve">Category</t>
  </si>
  <si>
    <t xml:space="preserve">All Entries</t>
  </si>
  <si>
    <t xml:space="preserve">Sampled Entries</t>
  </si>
  <si>
    <t xml:space="preserve">% of Log</t>
  </si>
  <si>
    <t xml:space="preserve">1 - Defensible</t>
  </si>
  <si>
    <t xml:space="preserve">2 - Defensible; Log Correction Required</t>
  </si>
  <si>
    <t xml:space="preserve">3 - At Risk; Further Review / Partial Production</t>
  </si>
  <si>
    <t xml:space="preserve">4 - Not Defensible; Withdraw &amp; Produce</t>
  </si>
  <si>
    <t xml:space="preserve">5 - Waived by Third-Party Disclosure</t>
  </si>
  <si>
    <t xml:space="preserve">Total</t>
  </si>
  <si>
    <t xml:space="preserve">Clawback / waiver-containment candidates</t>
  </si>
  <si>
    <t xml:space="preserve">Entries requiring log metadata correction</t>
  </si>
  <si>
    <t xml:space="preserve">Method: all 312 entries tested against org chart role dates, CLM engagement date (1/6/2020), Pacific Mutual CIA (4/22/2020), Garfield CIA (8/3/2021), Rule 26(a)(2) disclosures (1/15/2024). The 49 entries with sample documents were also checked against the document text.</t>
  </si>
  <si>
    <t xml:space="preserve">Unsampled entries in Category 1 show no problem on the face of the log only. They still need a document-level spot-check before certification.</t>
  </si>
  <si>
    <t xml:space="preserve">"Clawback Candidates" = documents where privileged content has left or will leave Thornfield's control (redacted productions, third-party disclosures, expert-file materials). For each one, decide whether FRE 502(b)/(d) clawback or a containment step is needed.</t>
  </si>
  <si>
    <t xml:space="preserve">Entry #</t>
  </si>
  <si>
    <t xml:space="preserve">Bates Range</t>
  </si>
  <si>
    <t xml:space="preserve">Date (as logged)</t>
  </si>
  <si>
    <t xml:space="preserve">Author(s)</t>
  </si>
  <si>
    <t xml:space="preserve">Recipient(s)</t>
  </si>
  <si>
    <t xml:space="preserve">CC</t>
  </si>
  <si>
    <t xml:space="preserve">Subject Line</t>
  </si>
  <si>
    <t xml:space="preserve">Doc Type</t>
  </si>
  <si>
    <t xml:space="preserve">Basis Claimed</t>
  </si>
  <si>
    <t xml:space="preserve">Log Description</t>
  </si>
  <si>
    <t xml:space="preserve">Sample Doc Reviewed</t>
  </si>
  <si>
    <t xml:space="preserve">Assessment Category</t>
  </si>
  <si>
    <t xml:space="preserve">Deficiency / Analysis</t>
  </si>
  <si>
    <t xml:space="preserve">Recommended Action</t>
  </si>
  <si>
    <t xml:space="preserve">Clawback Candidate</t>
  </si>
  <si>
    <t xml:space="preserve">TF-PRIV-000001 – TF-PRIV-000008</t>
  </si>
  <si>
    <t xml:space="preserve">January 3, 2017</t>
  </si>
  <si>
    <t xml:space="preserve">Margaret Langford, Esq.</t>
  </si>
  <si>
    <t xml:space="preserve">Donald Pruitt</t>
  </si>
  <si>
    <t xml:space="preserve">Re: Annual EHS Compliance Review</t>
  </si>
  <si>
    <t xml:space="preserve">Email</t>
  </si>
  <si>
    <t xml:space="preserve">ACP</t>
  </si>
  <si>
    <t xml:space="preserve">Communication from in-house counsel to VP of EHS providing legal advice regarding annual environmental compliance review procedures and regulatory reporting obligations under NJDEP guidelines</t>
  </si>
  <si>
    <t xml:space="preserve">No</t>
  </si>
  <si>
    <t xml:space="preserve">Langford was VP of Regulatory Affairs (business role) until 3/14/2019; org chart confirms she gave no legal advice in that role. No attorney acting as counsel is a party. Log mislabels her as "counsel".</t>
  </si>
  <si>
    <t xml:space="preserve">Withdraw ACP claim; produce in full. Correct any description characterizing Langford as counsel.</t>
  </si>
  <si>
    <t xml:space="preserve">TF-PRIV-000009 – TF-PRIV-000015</t>
  </si>
  <si>
    <t xml:space="preserve">March 14, 2017</t>
  </si>
  <si>
    <t xml:space="preserve">Catherine Marsh, Esq.</t>
  </si>
  <si>
    <t xml:space="preserve">Philip Torano, Esq.</t>
  </si>
  <si>
    <t xml:space="preserve">Re: Potential CERCLA Exposure Analysis</t>
  </si>
  <si>
    <t xml:space="preserve">Email with attachment</t>
  </si>
  <si>
    <t xml:space="preserve">ACP/WP</t>
  </si>
  <si>
    <t xml:space="preserve">Outside counsel's legal analysis and mental impressions regarding potential CERCLA liability exposure at Edison facility, prepared in anticipation of litigation</t>
  </si>
  <si>
    <t xml:space="preserve">Dated 3/14/2017: predates CLM engagement (1/6/2020) by ~3 years, predates Langford GC appointment and Torano staffing (Jan 2020). No attorney-client relationship and no anticipated litigation in 2017 for WP. Either date is wrong or claim is baseless.</t>
  </si>
  <si>
    <t xml:space="preserve">Confirm true date from metadata. If 2017 date is accurate, withdraw ACP/WP and produce; if mis-dated, correct log and re-assess.</t>
  </si>
  <si>
    <t xml:space="preserve">TF-PRIV-000016 – TF-PRIV-000022</t>
  </si>
  <si>
    <t xml:space="preserve">February 8, 2018</t>
  </si>
  <si>
    <t xml:space="preserve">Re: PFAS Monitoring Protocol Update</t>
  </si>
  <si>
    <t xml:space="preserve">Communication from counsel to VP of EHS providing legal guidance on PFAS monitoring protocol and regulatory compliance requirements</t>
  </si>
  <si>
    <t xml:space="preserve">Yes</t>
  </si>
  <si>
    <t xml:space="preserve">Langford was VP of Regulatory Affairs (business role) until 3/14/2019; org chart confirms she gave no legal advice in that role. No attorney acting as counsel is a party. Log mislabels her as "counsel". Document confirms VP Regulatory Affairs signature block and purely operational content.</t>
  </si>
  <si>
    <t xml:space="preserve">TF-PRIV-000023 – TF-PRIV-000030</t>
  </si>
  <si>
    <t xml:space="preserve">May 15, 2018</t>
  </si>
  <si>
    <t xml:space="preserve">Richard Voss</t>
  </si>
  <si>
    <t xml:space="preserve">Re: Environmental Liability Risk Assessment</t>
  </si>
  <si>
    <t xml:space="preserve">Memorandum</t>
  </si>
  <si>
    <t xml:space="preserve">Communication from counsel to CEO providing legal analysis of environmental liability risk exposure at Edison Manufacturing Plant and recommended risk mitigation strategies</t>
  </si>
  <si>
    <t xml:space="preserve">TF-PRIV-000031 – TF-PRIV-000036</t>
  </si>
  <si>
    <t xml:space="preserve">July 22, 2018</t>
  </si>
  <si>
    <t xml:space="preserve">Sandra Choi</t>
  </si>
  <si>
    <t xml:space="preserve">Re: Quarterly Environmental Reporting Schedules</t>
  </si>
  <si>
    <t xml:space="preserve">Communication from counsel to Director of Operations providing legal advice on quarterly environmental reporting compliance obligations</t>
  </si>
  <si>
    <t xml:space="preserve">TF-PRIV-000037 – TF-PRIV-000045</t>
  </si>
  <si>
    <t xml:space="preserve">September 10, 2018</t>
  </si>
  <si>
    <t xml:space="preserve">Re: NJDEP Administrative Consent Order — Compliance Obligations</t>
  </si>
  <si>
    <t xml:space="preserve">Communication from counsel to VP of EHS providing legal interpretation of NJDEP administrative consent order requirements and compliance timeline obligations</t>
  </si>
  <si>
    <t xml:space="preserve">TF-PRIV-000046 – TF-PRIV-000054</t>
  </si>
  <si>
    <t xml:space="preserve">November 12, 2019</t>
  </si>
  <si>
    <t xml:space="preserve">Re: Potential Environmental Litigation Strategy</t>
  </si>
  <si>
    <t xml:space="preserve">Communication from outside counsel to CEO regarding potential environmental litigation strategy and legal analysis of CERCLA exposure</t>
  </si>
  <si>
    <t xml:space="preserve">Doc is an unsolicited marketing/introduction email from Marsh to Voss after a trade-conference meeting. Engagement letter states pre-1/6/2020 communications were "preliminary," involved no legal advice, and no attorney-client relationship existed. Log description ("litigation strategy and legal analysis of CERCLA exposure") misrepresents content.</t>
  </si>
  <si>
    <t xml:space="preserve">Withdraw; produce. Correct description (Rule 26(g) exposure).</t>
  </si>
  <si>
    <t xml:space="preserve">TF-PRIV-000055 – TF-PRIV-000060</t>
  </si>
  <si>
    <t xml:space="preserve">November 28, 2018</t>
  </si>
  <si>
    <t xml:space="preserve">Re: Groundwater Remediation Legal Obligations</t>
  </si>
  <si>
    <t xml:space="preserve">Communication from counsel to VP of EHS providing legal analysis of groundwater remediation obligations under NJDEP Site Remediation Reform Act</t>
  </si>
  <si>
    <t xml:space="preserve">TF-PRIV-000061 – TF-PRIV-000072</t>
  </si>
  <si>
    <t xml:space="preserve">January 15, 2019</t>
  </si>
  <si>
    <t xml:space="preserve">Re: Annual Environmental Compliance Audit Summary</t>
  </si>
  <si>
    <t xml:space="preserve">Memorandum from counsel to CEO summarizing legal analysis of annual environmental compliance audit results and recommended corrective actions</t>
  </si>
  <si>
    <t xml:space="preserve">Langford signs as "VP of Regulatory Affairs" (pre-GC). Memo summarizes Graystone routine audit findings and budget; no legal advice. Log description ("legal analysis") is inaccurate.</t>
  </si>
  <si>
    <t xml:space="preserve">Withdraw ACP claim; produce in full.</t>
  </si>
  <si>
    <t xml:space="preserve">TF-PRIV-000073 – TF-PRIV-000080</t>
  </si>
  <si>
    <t xml:space="preserve">February 20, 2019</t>
  </si>
  <si>
    <t xml:space="preserve">Re: Soil Remediation Standards — Legal Update</t>
  </si>
  <si>
    <t xml:space="preserve">Communication from counsel to VP of EHS providing legal advice regarding updated NJDEP soil remediation standards and compliance implications for Edison facility</t>
  </si>
  <si>
    <t xml:space="preserve">TF-PRIV-000081 – TF-PRIV-000092</t>
  </si>
  <si>
    <t xml:space="preserve">December 3, 2019</t>
  </si>
  <si>
    <t xml:space="preserve">Re: Follow-Up — Environmental Litigation Capabilities</t>
  </si>
  <si>
    <t xml:space="preserve">Communication from outside counsel to CEO regarding environmental litigation defense strategy and engagement terms</t>
  </si>
  <si>
    <t xml:space="preserve">Follow-up marketing email transmitting standard engagement terms (12/3/2019), pre-engagement. No legal advice; engagement letter disclaims privilege for this period.</t>
  </si>
  <si>
    <t xml:space="preserve">Withdraw; produce with attachment.</t>
  </si>
  <si>
    <t xml:space="preserve">TF-PRIV-000093 – TF-PRIV-000100</t>
  </si>
  <si>
    <t xml:space="preserve">March 20, 2019</t>
  </si>
  <si>
    <t xml:space="preserve">Re: Legal Review — Waste Disposal Contractor Agreements</t>
  </si>
  <si>
    <t xml:space="preserve">Communication from General Counsel to Director of Operations providing legal analysis of waste disposal contractor agreements and compliance with RCRA requirements</t>
  </si>
  <si>
    <t xml:space="preserve">No facial deficiency: attorney participant (or counsel-prepared work product) consistent with roles/dates in org chart, engagement letter and CIAs; description adequate.</t>
  </si>
  <si>
    <t xml:space="preserve">Maintain; spot-check document.</t>
  </si>
  <si>
    <t xml:space="preserve">TF-PRIV-000101 – TF-PRIV-000108</t>
  </si>
  <si>
    <t xml:space="preserve">April 2, 2019</t>
  </si>
  <si>
    <t xml:space="preserve">Re: NJDEP Notice of Violation — Legal Response Strategy</t>
  </si>
  <si>
    <t xml:space="preserve">Communication from General Counsel to VP of EHS providing legal advice regarding response strategy to NJDEP notice of violation concerning air emission exceedances</t>
  </si>
  <si>
    <t xml:space="preserve">TF-PRIV-000109 – TF-PRIV-000115</t>
  </si>
  <si>
    <t xml:space="preserve">May 10, 2019</t>
  </si>
  <si>
    <t xml:space="preserve">Re: Environmental Regulatory Update — Legal Briefing</t>
  </si>
  <si>
    <t xml:space="preserve">Memorandum from General Counsel to CEO providing legal briefing on recent environmental regulatory developments and potential impact on Thornfield operations</t>
  </si>
  <si>
    <t xml:space="preserve">TF-PRIV-000116 – TF-PRIV-000125</t>
  </si>
  <si>
    <t xml:space="preserve">June 5, 2019</t>
  </si>
  <si>
    <t xml:space="preserve">Re: Legal Analysis — Stormwater Discharge Permit Requirements</t>
  </si>
  <si>
    <t xml:space="preserve">Communication from General Counsel to VP of EHS providing legal analysis of stormwater discharge permit requirements and recommended compliance measures</t>
  </si>
  <si>
    <t xml:space="preserve">TF-PRIV-000126 – TF-PRIV-000132</t>
  </si>
  <si>
    <t xml:space="preserve">July 8, 2019</t>
  </si>
  <si>
    <t xml:space="preserve">Re: TSCA Compliance Review — Legal Advice</t>
  </si>
  <si>
    <t xml:space="preserve">Communication from General Counsel to VP of EHS providing legal advice regarding TSCA reporting requirements and Thornfield compliance obligations for chemical inventory</t>
  </si>
  <si>
    <t xml:space="preserve">TF-PRIV-000133 – TF-PRIV-000140</t>
  </si>
  <si>
    <t xml:space="preserve">August 12, 2019</t>
  </si>
  <si>
    <t xml:space="preserve">Re: Hazardous Waste Manifesting — Legal Requirements</t>
  </si>
  <si>
    <t xml:space="preserve">Communication from General Counsel to Director of Operations providing legal guidance on hazardous waste manifesting requirements under RCRA and NJDEP regulations</t>
  </si>
  <si>
    <t xml:space="preserve">TF-PRIV-000141 – TF-PRIV-000148</t>
  </si>
  <si>
    <t xml:space="preserve">September 18, 2019</t>
  </si>
  <si>
    <t xml:space="preserve">Re: Environmental Compliance Program — Legal Risk Assessment</t>
  </si>
  <si>
    <t xml:space="preserve">Memorandum from General Counsel to CEO providing legal risk assessment of Thornfield environmental compliance program and recommended enhancements</t>
  </si>
  <si>
    <t xml:space="preserve">TF-PRIV-000149 – TF-PRIV-000155</t>
  </si>
  <si>
    <t xml:space="preserve">October 22, 2019</t>
  </si>
  <si>
    <t xml:space="preserve">Re: Legal Analysis — PFAS Regulatory Developments</t>
  </si>
  <si>
    <t xml:space="preserve">Communication from General Counsel to VP of EHS providing legal analysis of emerging PFAS regulatory developments at federal and state levels</t>
  </si>
  <si>
    <t xml:space="preserve">TF-PRIV-000156 – TF-PRIV-000162</t>
  </si>
  <si>
    <t xml:space="preserve">January 8, 2020</t>
  </si>
  <si>
    <t xml:space="preserve">Re: CERCLA Liability Analysis — Edison Facility</t>
  </si>
  <si>
    <t xml:space="preserve">Communication from outside counsel to General Counsel providing legal analysis of potential CERCLA liability at Edison Manufacturing Plant</t>
  </si>
  <si>
    <t xml:space="preserve">Outside counsel to GC two days after engagement; within engagement scope.</t>
  </si>
  <si>
    <t xml:space="preserve">Maintain. Basis could add WP.</t>
  </si>
  <si>
    <t xml:space="preserve">TF-PRIV-000163 – TF-PRIV-000170</t>
  </si>
  <si>
    <t xml:space="preserve">February 3, 2020</t>
  </si>
  <si>
    <t xml:space="preserve">Re: Historical Disposal Practices — Legal Analysis</t>
  </si>
  <si>
    <t xml:space="preserve">Communication from General Counsel to outside counsel providing factual background and requesting legal analysis of historical disposal practices at Edison facility</t>
  </si>
  <si>
    <t xml:space="preserve">TF-PRIV-000171 – TF-PRIV-000180</t>
  </si>
  <si>
    <t xml:space="preserve">March 2, 2020</t>
  </si>
  <si>
    <t xml:space="preserve">Re: NJ Spill Act Liability Assessment</t>
  </si>
  <si>
    <t xml:space="preserve">Outside counsel's legal memorandum analyzing NJ Spill Act liability exposure and defense strategies, reflecting attorney mental impressions and case analysis</t>
  </si>
  <si>
    <t xml:space="preserve">TF-PRIV-000181 – TF-PRIV-000188</t>
  </si>
  <si>
    <t xml:space="preserve">March 25, 2020</t>
  </si>
  <si>
    <t xml:space="preserve">Re: Litigation Risk Assessment — Environmental Claims</t>
  </si>
  <si>
    <t xml:space="preserve">Memorandum from General Counsel to CEO providing legal assessment of litigation risk arising from potential environmental enforcement and cost recovery claims</t>
  </si>
  <si>
    <t xml:space="preserve">TF-PRIV-000189 – TF-PRIV-000194</t>
  </si>
  <si>
    <t xml:space="preserve">April 5, 2020</t>
  </si>
  <si>
    <t xml:space="preserve">Re: Remediation Budget Estimates — Edison Plant</t>
  </si>
  <si>
    <t xml:space="preserve">Discussion of remediation budget allocation and cost projections for Edison facility cleanup</t>
  </si>
  <si>
    <t xml:space="preserve">Pruitt (VP EHS) to Choi (Dir. Ops) - no attorney author, recipient or cc. Remediation budget/capex planning; ordinary business.</t>
  </si>
  <si>
    <t xml:space="preserve">Withdraw ACP claim; produce.</t>
  </si>
  <si>
    <t xml:space="preserve">TF-PRIV-000195 – TF-PRIV-000203</t>
  </si>
  <si>
    <t xml:space="preserve">April 10, 2020</t>
  </si>
  <si>
    <t xml:space="preserve">Re: Legal Analysis — New NJDEP Reporting Requirements</t>
  </si>
  <si>
    <t xml:space="preserve">Communication from General Counsel to VP of EHS providing legal advice regarding new NJDEP environmental reporting requirements and Thornfield's compliance obligations under revised state regulations</t>
  </si>
  <si>
    <t xml:space="preserve">Substantively privileged: GC Langford giving legal advice on NJDEP PFAS reporting. Log date (4/10/2020) conflicts with document date (4/10/2019).</t>
  </si>
  <si>
    <t xml:space="preserve">Maintain ACP; correct date to April 10, 2019.</t>
  </si>
  <si>
    <t xml:space="preserve">TF-PRIV-000204 – TF-PRIV-000210</t>
  </si>
  <si>
    <t xml:space="preserve">April 15, 2020</t>
  </si>
  <si>
    <t xml:space="preserve">Re: Preliminary Defense Strategy — CERCLA Cost Recovery</t>
  </si>
  <si>
    <t xml:space="preserve">Communication from outside counsel to General Counsel providing preliminary defense strategy recommendations for anticipated CERCLA cost recovery action</t>
  </si>
  <si>
    <t xml:space="preserve">TF-PRIV-000211 – TF-PRIV-000218</t>
  </si>
  <si>
    <t xml:space="preserve">April 22, 2020</t>
  </si>
  <si>
    <t xml:space="preserve">Re: Factual Background — Edison Facility Historical Operations</t>
  </si>
  <si>
    <t xml:space="preserve">Communication from General Counsel to outside counsel providing factual background and privileged legal analysis of Edison facility historical operations in connection with anticipated CERCLA litigation</t>
  </si>
  <si>
    <t xml:space="preserve">TF-PRIV-000219 – TF-PRIV-000225</t>
  </si>
  <si>
    <t xml:space="preserve">April 28, 2020</t>
  </si>
  <si>
    <t xml:space="preserve">Re: Research Memo — CERCLA Section 107 Defenses</t>
  </si>
  <si>
    <t xml:space="preserve">Research memo</t>
  </si>
  <si>
    <t xml:space="preserve">WP</t>
  </si>
  <si>
    <t xml:space="preserve">Attorney work product research memorandum analyzing available defenses under CERCLA Section 107 and applicable Third Circuit case law</t>
  </si>
  <si>
    <t xml:space="preserve">TF-PRIV-000226 – TF-PRIV-000235</t>
  </si>
  <si>
    <t xml:space="preserve">May 5, 2020</t>
  </si>
  <si>
    <t xml:space="preserve">Re: CERCLA Contribution Claim Analysis — Potential Co-Defendants</t>
  </si>
  <si>
    <t xml:space="preserve">Outside counsel's legal memorandum analyzing potential CERCLA contribution claims against third-party operators, reflecting attorney mental impressions and litigation strategy</t>
  </si>
  <si>
    <t xml:space="preserve">TF-PRIV-000236 – TF-PRIV-000243</t>
  </si>
  <si>
    <t xml:space="preserve">May 12, 2020</t>
  </si>
  <si>
    <t xml:space="preserve">Re: Litigation Preparedness Update</t>
  </si>
  <si>
    <t xml:space="preserve">Communication from General Counsel to CEO providing legal update on litigation preparedness and recommended actions for anticipated environmental enforcement proceedings</t>
  </si>
  <si>
    <t xml:space="preserve">TF-PRIV-000244 – TF-PRIV-000250</t>
  </si>
  <si>
    <t xml:space="preserve">May 18, 2020</t>
  </si>
  <si>
    <t xml:space="preserve">Teresa Molina</t>
  </si>
  <si>
    <t xml:space="preserve">Re: NJDEP Meeting Strategy</t>
  </si>
  <si>
    <t xml:space="preserve">Communication with counsel re: regulatory strategy for upcoming NJDEP engagement</t>
  </si>
  <si>
    <t xml:space="preserve">Molina (VP Gov. Relations) is not an attorney; informal "regulatory counsel" label is irrelevant (org chart). Recipient Pruitt is non-attorney. Content is NJDEP meeting messaging/PR. Log falsely describes as "communication with counsel."</t>
  </si>
  <si>
    <t xml:space="preserve">Withdraw; produce; correct description.</t>
  </si>
  <si>
    <t xml:space="preserve">TF-PRIV-000251 – TF-PRIV-000258</t>
  </si>
  <si>
    <t xml:space="preserve">May 25, 2020</t>
  </si>
  <si>
    <t xml:space="preserve">Re: Preliminary Assessment — NJDEP Enforcement Action</t>
  </si>
  <si>
    <t xml:space="preserve">Communication from outside counsel to General Counsel providing preliminary legal assessment of potential NJDEP enforcement action and recommended defense strategy</t>
  </si>
  <si>
    <t xml:space="preserve">TF-PRIV-000259 – TF-PRIV-000270</t>
  </si>
  <si>
    <t xml:space="preserve">December 15, 2018</t>
  </si>
  <si>
    <t xml:space="preserve">Dr. Franklin Reese</t>
  </si>
  <si>
    <t xml:space="preserve">Graystone 2018 Annual Environmental Audit Report — Edison Plant</t>
  </si>
  <si>
    <t xml:space="preserve">Report</t>
  </si>
  <si>
    <t xml:space="preserve">Environmental audit report prepared in anticipation of litigation analyzing contamination conditions at Edison Manufacturing Plant</t>
  </si>
  <si>
    <t xml:space="preserve">Graystone 2018 annual audit under MSA (routine compliance program); report itself states it was "prepared in the ordinary course" and is not legal advice. Predates any anticipation of litigation; no attorney involved. Also listed among materials considered by testifying expert Reese (Rule 26(a)(2)(B)). Log falsely claims "prepared in anticipation of litigation."</t>
  </si>
  <si>
    <t xml:space="preserve">Withdraw WP claim; produce.</t>
  </si>
  <si>
    <t xml:space="preserve">TF-PRIV-000271 – TF-PRIV-000278</t>
  </si>
  <si>
    <t xml:space="preserve">June 1, 2020</t>
  </si>
  <si>
    <t xml:space="preserve">Re: Research Memo — NJ Spill Act Strict Liability Standards</t>
  </si>
  <si>
    <t xml:space="preserve">Attorney work product research memorandum analyzing NJ Spill Act strict liability standards and applicable defenses under Third Circuit precedent</t>
  </si>
  <si>
    <t xml:space="preserve">TF-PRIV-000279 – TF-PRIV-000285</t>
  </si>
  <si>
    <t xml:space="preserve">June 5, 2020</t>
  </si>
  <si>
    <t xml:space="preserve">Re: Legal Guidance — Emergency Response Obligations</t>
  </si>
  <si>
    <t xml:space="preserve">Communication from General Counsel to VP of EHS providing legal guidance on emergency response obligations under CERCLA Section 104 and New Jersey environmental regulations</t>
  </si>
  <si>
    <t xml:space="preserve">TF-PRIV-000286 – TF-PRIV-000292</t>
  </si>
  <si>
    <t xml:space="preserve">June 10, 2020</t>
  </si>
  <si>
    <t xml:space="preserve">Re: Anticipated Complaint — Preliminary Analysis</t>
  </si>
  <si>
    <t xml:space="preserve">Communication from outside counsel to General Counsel providing preliminary legal analysis of anticipated environmental complaint and recommended responsive actions</t>
  </si>
  <si>
    <t xml:space="preserve">TF-PRIV-000293 – TF-PRIV-000301</t>
  </si>
  <si>
    <t xml:space="preserve">June 15, 2020</t>
  </si>
  <si>
    <t xml:space="preserve">Arjun Kapadia, Esq.</t>
  </si>
  <si>
    <t xml:space="preserve">Re: Legal Analysis — Vendor Indemnification Obligations</t>
  </si>
  <si>
    <t xml:space="preserve">Communication from Deputy General Counsel to Director of Operations providing legal analysis of vendor indemnification obligations under existing supply contracts in light of potential CERCLA contribution claims</t>
  </si>
  <si>
    <t xml:space="preserve">Deputy GC Kapadia legal advice to Choi re vendor indemnity/CERCLA contribution on date complaint filed. Content confirms legal advice.</t>
  </si>
  <si>
    <t xml:space="preserve">Maintain ACP.</t>
  </si>
  <si>
    <t xml:space="preserve">TF-PRIV-000302 – TF-PRIV-000310</t>
  </si>
  <si>
    <t xml:space="preserve">June 18, 2020</t>
  </si>
  <si>
    <t xml:space="preserve">Re: Litigation Hold Notice — Legal Obligations</t>
  </si>
  <si>
    <t xml:space="preserve">Communication from General Counsel to CEO providing legal advice regarding document preservation obligations and implementation of litigation hold in connection with filed environmental action</t>
  </si>
  <si>
    <t xml:space="preserve">TF-PRIV-000311 – TF-PRIV-000318</t>
  </si>
  <si>
    <t xml:space="preserve">June 22, 2020</t>
  </si>
  <si>
    <t xml:space="preserve">Re: Initial Case Assessment — Meridian v. Thornfield</t>
  </si>
  <si>
    <t xml:space="preserve">Outside counsel's initial case assessment memorandum analyzing claims, defenses, and litigation strategy for Meridian v. Thornfield, reflecting attorney mental impressions</t>
  </si>
  <si>
    <t xml:space="preserve">TF-PRIV-000319 – TF-PRIV-000325</t>
  </si>
  <si>
    <t xml:space="preserve">June 25, 2020</t>
  </si>
  <si>
    <t xml:space="preserve">Re: Document Collection — Responsive Materials</t>
  </si>
  <si>
    <t xml:space="preserve">Communication from General Counsel to outside counsel regarding document collection efforts and identification of potentially responsive materials for environmental litigation</t>
  </si>
  <si>
    <t xml:space="preserve">TF-PRIV-000326 – TF-PRIV-000332</t>
  </si>
  <si>
    <t xml:space="preserve">July 1, 2020</t>
  </si>
  <si>
    <t xml:space="preserve">Re: Research Memo — Statute of Limitations Defenses</t>
  </si>
  <si>
    <t xml:space="preserve">Attorney work product research memorandum analyzing statute of limitations defenses applicable to CERCLA and NJ Spill Act claims in Meridian litigation</t>
  </si>
  <si>
    <t xml:space="preserve">TF-PRIV-000333 – TF-PRIV-000340</t>
  </si>
  <si>
    <t xml:space="preserve">July 8, 2020</t>
  </si>
  <si>
    <t xml:space="preserve">Re: Answer and Affirmative Defenses — Draft Review</t>
  </si>
  <si>
    <t xml:space="preserve">Communication from outside counsel to General Counsel attaching draft answer and affirmative defenses for review, reflecting attorney mental impressions and case strategy</t>
  </si>
  <si>
    <t xml:space="preserve">TF-PRIV-000341 – TF-PRIV-000350</t>
  </si>
  <si>
    <t xml:space="preserve">July 15, 2020</t>
  </si>
  <si>
    <t xml:space="preserve">Re: Comments on Draft Answer</t>
  </si>
  <si>
    <t xml:space="preserve">Communication from General Counsel to outside counsel providing comments and legal analysis regarding draft answer and affirmative defenses in Meridian litigation</t>
  </si>
  <si>
    <t xml:space="preserve">TF-PRIV-000351 – TF-PRIV-000358</t>
  </si>
  <si>
    <t xml:space="preserve">August 22, 2020</t>
  </si>
  <si>
    <t xml:space="preserve">Re: Plant Operations Update and Legal Review</t>
  </si>
  <si>
    <t xml:space="preserve">Communication seeking legal advice from General Counsel re: facility operations, production scheduling, and legal compliance</t>
  </si>
  <si>
    <t xml:space="preserve">Choi to Langford: ~95% production scheduling, vendor pricing, capex, staffing; single sentence at end requests legal view on Clearwater waste-handling. Predominant purpose is business. Log description overstates legal content; Bates range in log (351-358) differs from document (351-353).</t>
  </si>
  <si>
    <t xml:space="preserve">Produce with narrow redaction of final legal-advice request sentence; log redaction; correct Bates range.</t>
  </si>
  <si>
    <t xml:space="preserve">Y</t>
  </si>
  <si>
    <t xml:space="preserve">TF-PRIV-000359 – TF-PRIV-000365</t>
  </si>
  <si>
    <t xml:space="preserve">August 28, 2020</t>
  </si>
  <si>
    <t xml:space="preserve">Re: Discovery Plan — Initial Disclosures Strategy</t>
  </si>
  <si>
    <t xml:space="preserve">Communication from outside counsel to General Counsel discussing initial disclosure strategy and discovery planning for Meridian litigation</t>
  </si>
  <si>
    <t xml:space="preserve">TF-PRIV-000366 – TF-PRIV-000372</t>
  </si>
  <si>
    <t xml:space="preserve">September 2, 2020</t>
  </si>
  <si>
    <t xml:space="preserve">Re: Research Memo — Divisibility Defense Under CERCLA</t>
  </si>
  <si>
    <t xml:space="preserve">Attorney work product research memorandum analyzing divisibility defense under CERCLA Section 107 and Burlington Northern precedent</t>
  </si>
  <si>
    <t xml:space="preserve">TF-PRIV-000373 – TF-PRIV-000380</t>
  </si>
  <si>
    <t xml:space="preserve">September 5, 2020</t>
  </si>
  <si>
    <t xml:space="preserve">Re: Legal Advice — NJDEP Sampling Request</t>
  </si>
  <si>
    <t xml:space="preserve">Communication from General Counsel to VP of EHS providing legal advice regarding NJDEP sampling request and Thornfield's legal obligations to cooperate with regulatory investigation</t>
  </si>
  <si>
    <t xml:space="preserve">TF-PRIV-000381 – TF-PRIV-000388</t>
  </si>
  <si>
    <t xml:space="preserve">September 8, 2020</t>
  </si>
  <si>
    <t xml:space="preserve">Re: Litigation Budget — Preliminary Estimate</t>
  </si>
  <si>
    <t xml:space="preserve">Communication from outside counsel to General Counsel providing privileged litigation budget estimate and case strategy timeline for Meridian environmental litigation</t>
  </si>
  <si>
    <t xml:space="preserve">TF-PRIV-000389 – TF-PRIV-000395</t>
  </si>
  <si>
    <t xml:space="preserve">September 12, 2020</t>
  </si>
  <si>
    <t xml:space="preserve">Re: Legal Analysis — Employee Cooperation Obligations</t>
  </si>
  <si>
    <t xml:space="preserve">Communication from Deputy General Counsel to VP of EHS providing legal advice regarding employee cooperation obligations in connection with pending environmental litigation</t>
  </si>
  <si>
    <t xml:space="preserve">TF-PRIV-000396 – TF-PRIV-000402</t>
  </si>
  <si>
    <t xml:space="preserve">September 15, 2020</t>
  </si>
  <si>
    <t xml:space="preserve">Re: Document Preservation — Supplemental Hold Notice</t>
  </si>
  <si>
    <t xml:space="preserve">Communication from General Counsel to outside counsel discussing supplemental litigation hold notice and document preservation obligations</t>
  </si>
  <si>
    <t xml:space="preserve">TF-PRIV-000403 – TF-PRIV-000410</t>
  </si>
  <si>
    <t xml:space="preserve">September 18, 2020</t>
  </si>
  <si>
    <t xml:space="preserve">Re: Case Law Research — Third-Party Defense Under CERCLA</t>
  </si>
  <si>
    <t xml:space="preserve">Attorney work product research memorandum analyzing innocent landowner and third-party defenses under CERCLA Section 107(b)(3)</t>
  </si>
  <si>
    <t xml:space="preserve">TF-PRIV-000411 – TF-PRIV-000418</t>
  </si>
  <si>
    <t xml:space="preserve">September 22, 2020</t>
  </si>
  <si>
    <t xml:space="preserve">Re: Discovery Response Strategy — Interrogatories</t>
  </si>
  <si>
    <t xml:space="preserve">Communication from outside counsel to General Counsel discussing strategy for responding to plaintiff's first set of interrogatories in Meridian litigation</t>
  </si>
  <si>
    <t xml:space="preserve">TF-PRIV-000419 – TF-PRIV-000425</t>
  </si>
  <si>
    <t xml:space="preserve">September 25, 2020</t>
  </si>
  <si>
    <t xml:space="preserve">Re: Legal Guidance — Document Collection for Discovery</t>
  </si>
  <si>
    <t xml:space="preserve">Communication from Deputy General Counsel to Director of Operations providing legal guidance on document collection requirements for discovery in Meridian litigation</t>
  </si>
  <si>
    <t xml:space="preserve">TF-PRIV-000426 – TF-PRIV-000433</t>
  </si>
  <si>
    <t xml:space="preserve">September 28, 2020</t>
  </si>
  <si>
    <t xml:space="preserve">Re: Litigation Status Update — Meridian v. Thornfield</t>
  </si>
  <si>
    <t xml:space="preserve">Communication from General Counsel to CEO providing privileged legal update on status of Meridian environmental litigation and strategic recommendations</t>
  </si>
  <si>
    <t xml:space="preserve">TF-PRIV-000434 – TF-PRIV-000440</t>
  </si>
  <si>
    <t xml:space="preserve">October 2, 2020</t>
  </si>
  <si>
    <t xml:space="preserve">William Haney</t>
  </si>
  <si>
    <t xml:space="preserve">Re: NJ Environmental Legislation — Lobbying Strategy</t>
  </si>
  <si>
    <t xml:space="preserve">Communication with counsel re: regulatory strategy regarding pending state environmental legislation</t>
  </si>
  <si>
    <t xml:space="preserve">Molina (non-attorney) to CFO Haney re lobbying budget for S.B. 2247. No attorney; purely business/lobbying. Log falsely describes as "communication with counsel."</t>
  </si>
  <si>
    <t xml:space="preserve">Withdraw; produce.</t>
  </si>
  <si>
    <t xml:space="preserve">TF-PRIV-000441 – TF-PRIV-000448</t>
  </si>
  <si>
    <t xml:space="preserve">October 5, 2020</t>
  </si>
  <si>
    <t xml:space="preserve">Re: Motion to Dismiss — Preliminary Analysis</t>
  </si>
  <si>
    <t xml:space="preserve">Outside counsel's analysis of potential motion to dismiss arguments and legal strategy, reflecting attorney mental impressions and evaluation of claims</t>
  </si>
  <si>
    <t xml:space="preserve">TF-PRIV-000449 – TF-PRIV-000458</t>
  </si>
  <si>
    <t xml:space="preserve">October 10, 2020</t>
  </si>
  <si>
    <t xml:space="preserve">Re: Draft Motion to Dismiss — Standing Arguments</t>
  </si>
  <si>
    <t xml:space="preserve">Draft pleading</t>
  </si>
  <si>
    <t xml:space="preserve">Attorney work product draft motion to dismiss for lack of standing reflecting litigation strategy and attorney mental impressions</t>
  </si>
  <si>
    <t xml:space="preserve">TF-PRIV-000459 – TF-PRIV-000468</t>
  </si>
  <si>
    <t xml:space="preserve">Graystone 2019 Environmental Compliance Inspection Checklist — Edison Plant</t>
  </si>
  <si>
    <t xml:space="preserve">Checklist/Report</t>
  </si>
  <si>
    <t xml:space="preserve">Environmental compliance inspection checklist prepared in anticipation of litigation documenting conditions at Edison facility</t>
  </si>
  <si>
    <t xml:space="preserve">Graystone 2019 routine inspection checklist under MSA §4.2; ordinary course, no attorney, predates anticipated litigation. Log falsely claims "prepared in anticipation of litigation."</t>
  </si>
  <si>
    <t xml:space="preserve">TF-PRIV-000469 – TF-PRIV-000475</t>
  </si>
  <si>
    <t xml:space="preserve">October 18, 2020</t>
  </si>
  <si>
    <t xml:space="preserve">Re: Response to Motion to Compel — Privilege Issues</t>
  </si>
  <si>
    <t xml:space="preserve">Communication from General Counsel to outside counsel regarding privilege issues raised in plaintiff's anticipated motion to compel discovery responses</t>
  </si>
  <si>
    <t xml:space="preserve">TF-PRIV-000476 – TF-PRIV-000482</t>
  </si>
  <si>
    <t xml:space="preserve">October 22, 2020</t>
  </si>
  <si>
    <t xml:space="preserve">Re: Legal Analysis — NJDEP Information Request Response</t>
  </si>
  <si>
    <t xml:space="preserve">Communication from Deputy General Counsel to VP of EHS providing legal analysis regarding response to NJDEP information request and privilege considerations</t>
  </si>
  <si>
    <t xml:space="preserve">TF-PRIV-000483 – TF-PRIV-000490</t>
  </si>
  <si>
    <t xml:space="preserve">October 28, 2020</t>
  </si>
  <si>
    <t xml:space="preserve">Re: Legal Analysis — Insurance Coverage and Vendor Indemnity</t>
  </si>
  <si>
    <t xml:space="preserve">Communication from Deputy General Counsel to CFO providing legal analysis of vendor indemnification and insurance coverage implications related to environmental remediation costs</t>
  </si>
  <si>
    <t xml:space="preserve">TF-PRIV-000491 – TF-PRIV-000498</t>
  </si>
  <si>
    <t xml:space="preserve">November 1, 2020</t>
  </si>
  <si>
    <t xml:space="preserve">Re: Case Assessment Update — Meridian v. Thornfield</t>
  </si>
  <si>
    <t xml:space="preserve">Communication from outside counsel to General Counsel providing updated case assessment and strategic recommendations for Meridian environmental litigation</t>
  </si>
  <si>
    <t xml:space="preserve">TF-PRIV-000499 – TF-PRIV-000505</t>
  </si>
  <si>
    <t xml:space="preserve">November 5, 2020</t>
  </si>
  <si>
    <t xml:space="preserve">Re: Research Memo — Contribution Rights Under CERCLA Section 113</t>
  </si>
  <si>
    <t xml:space="preserve">Attorney work product research memorandum analyzing contribution rights and procedures under CERCLA Section 113(f) and applicable Third Circuit precedent</t>
  </si>
  <si>
    <t xml:space="preserve">TF-PRIV-000506 – TF-PRIV-000512</t>
  </si>
  <si>
    <t xml:space="preserve">November 8, 2020</t>
  </si>
  <si>
    <t xml:space="preserve">Re: Legal Guidance — Ongoing Monitoring Obligations During Litigation</t>
  </si>
  <si>
    <t xml:space="preserve">Communication from General Counsel to VP of EHS providing legal guidance on ongoing environmental monitoring obligations during pending litigation</t>
  </si>
  <si>
    <t xml:space="preserve">TF-PRIV-000513 – TF-PRIV-000520</t>
  </si>
  <si>
    <t xml:space="preserve">November 10, 2020</t>
  </si>
  <si>
    <t xml:space="preserve">Re: Discovery Dispute — Proportionality Arguments</t>
  </si>
  <si>
    <t xml:space="preserve">Communication from outside counsel to General Counsel discussing proportionality arguments for anticipated discovery dispute regarding scope of document production</t>
  </si>
  <si>
    <t xml:space="preserve">TF-PRIV-000521 – TF-PRIV-000528</t>
  </si>
  <si>
    <t xml:space="preserve">November 11, 2020</t>
  </si>
  <si>
    <t xml:space="preserve">Nadia El-Amin, Esq.</t>
  </si>
  <si>
    <t xml:space="preserve">Re: Draft Opposition Brief — Motion to Compel</t>
  </si>
  <si>
    <t xml:space="preserve">Attorney work product draft opposition brief to plaintiff's motion to compel reflecting litigation strategy and attorney analysis</t>
  </si>
  <si>
    <t xml:space="preserve">TF-PRIV-000529 – TF-PRIV-000535</t>
  </si>
  <si>
    <t xml:space="preserve">Re: Remediation Cost Allocation Across Business Units</t>
  </si>
  <si>
    <t xml:space="preserve">Discussion of remediation cost allocation and financial planning for environmental cleanup</t>
  </si>
  <si>
    <t xml:space="preserve">CFO Haney to Pruitt re allocation of $8.2M reserve across business units. No attorney; financial/accounting purpose.</t>
  </si>
  <si>
    <t xml:space="preserve">TF-PRIV-000536 – TF-PRIV-000542</t>
  </si>
  <si>
    <t xml:space="preserve">November 15, 2020</t>
  </si>
  <si>
    <t xml:space="preserve">Re: Privilege Review Protocol — Document Production</t>
  </si>
  <si>
    <t xml:space="preserve">Communication from General Counsel to outside counsel discussing privilege review protocol and procedures for document production in Meridian litigation</t>
  </si>
  <si>
    <t xml:space="preserve">TF-PRIV-000543 – TF-PRIV-000550</t>
  </si>
  <si>
    <t xml:space="preserve">November 20, 2020</t>
  </si>
  <si>
    <t xml:space="preserve">Re: Deposition Strategy — Fact Witnesses</t>
  </si>
  <si>
    <t xml:space="preserve">Communication from outside counsel to General Counsel discussing deposition strategy for key fact witnesses in Meridian environmental litigation</t>
  </si>
  <si>
    <t xml:space="preserve">TF-PRIV-000551 – TF-PRIV-000558</t>
  </si>
  <si>
    <t xml:space="preserve">November 25, 2020</t>
  </si>
  <si>
    <t xml:space="preserve">Re: Research Memo — Evidentiary Standards for Contamination Source Attribution</t>
  </si>
  <si>
    <t xml:space="preserve">Attorney work product research memorandum analyzing evidentiary standards for contamination source attribution in CERCLA cost recovery actions</t>
  </si>
  <si>
    <t xml:space="preserve">TF-PRIV-000559 – TF-PRIV-000565</t>
  </si>
  <si>
    <t xml:space="preserve">December 1, 2020</t>
  </si>
  <si>
    <t xml:space="preserve">Re: Legal Analysis — Employee Interview Protocol</t>
  </si>
  <si>
    <t xml:space="preserve">Communication from Deputy General Counsel to General Counsel providing legal analysis regarding protocol for employee interviews in connection with environmental litigation</t>
  </si>
  <si>
    <t xml:space="preserve">TF-PRIV-000566 – TF-PRIV-000575</t>
  </si>
  <si>
    <t xml:space="preserve">May 20, 2020</t>
  </si>
  <si>
    <t xml:space="preserve">Re: PFAS Exceedance — Regulatory Reporting</t>
  </si>
  <si>
    <t xml:space="preserve">Email chain</t>
  </si>
  <si>
    <t xml:space="preserve">Communication seeking legal advice from General Counsel re: regulatory reporting obligations for environmental monitoring results</t>
  </si>
  <si>
    <t xml:space="preserve">Genuine request for and provision of legal advice (Pruitt to GC re PFAS exceedance reporting). However, Pruitt expressly asks whether notification can be delayed to avoid aiding plaintiffs, and GC response discusses "calculated risk" and exploring a "discharge vs. ongoing condition" distinction. High likelihood plaintiffs/NJDEP seek in camera review under the crime-fraud exception. Log description is sanitized.</t>
  </si>
  <si>
    <t xml:space="preserve">Maintain ACP; prepare crime-fraud opposition (advice sought/given did not further a crime; GC warned of enforcement risk). Confirm actual NJDEP notification timing. Consider more accurate description.</t>
  </si>
  <si>
    <t xml:space="preserve">TF-PRIV-000576 – TF-PRIV-000582</t>
  </si>
  <si>
    <t xml:space="preserve">December 8, 2020</t>
  </si>
  <si>
    <t xml:space="preserve">Re: Scheduling Order — Strategic Considerations</t>
  </si>
  <si>
    <t xml:space="preserve">Communication from outside counsel to General Counsel discussing strategic considerations for proposed scheduling order in Meridian litigation</t>
  </si>
  <si>
    <t xml:space="preserve">TF-PRIV-000583 – TF-PRIV-000590</t>
  </si>
  <si>
    <t xml:space="preserve">December 12, 2020</t>
  </si>
  <si>
    <t xml:space="preserve">Re: Research Memo — Government Cost Recovery Standards</t>
  </si>
  <si>
    <t xml:space="preserve">Attorney work product research memorandum analyzing government cost recovery standards under CERCLA Section 107 and consistency with National Contingency Plan</t>
  </si>
  <si>
    <t xml:space="preserve">TF-PRIV-000591 – TF-PRIV-000598</t>
  </si>
  <si>
    <t xml:space="preserve">December 15, 2020</t>
  </si>
  <si>
    <t xml:space="preserve">Re: Year-End Litigation Update — Environmental Matters</t>
  </si>
  <si>
    <t xml:space="preserve">Memorandum from General Counsel to CEO providing year-end privileged legal update on environmental litigation matters and strategic recommendations</t>
  </si>
  <si>
    <t xml:space="preserve">TF-PRIV-000599 – TF-PRIV-000606</t>
  </si>
  <si>
    <t xml:space="preserve">December 18, 2020</t>
  </si>
  <si>
    <t xml:space="preserve">Lisa Brennfeld, Paralegal</t>
  </si>
  <si>
    <t xml:space="preserve">Re: Discovery Timeline and Document Collection</t>
  </si>
  <si>
    <t xml:space="preserve">Communication from outside counsel to General Counsel (cc: paralegal) discussing discovery timeline, document collection strategy, and litigation scheduling in CERCLA action</t>
  </si>
  <si>
    <t xml:space="preserve">Outside counsel to GC (cc CLM paralegal - agent, no waiver) on discovery/production strategy: privileged. Log date 12/18/2020 conflicts with document date 9/22/2021.</t>
  </si>
  <si>
    <t xml:space="preserve">Maintain; correct date.</t>
  </si>
  <si>
    <t xml:space="preserve">TF-PRIV-000607 – TF-PRIV-000615</t>
  </si>
  <si>
    <t xml:space="preserve">January 5, 2021</t>
  </si>
  <si>
    <t xml:space="preserve">Re: Summary Judgment Feasibility Assessment</t>
  </si>
  <si>
    <t xml:space="preserve">Outside counsel's memorandum analyzing feasibility of summary judgment motion and potential dispositive arguments, reflecting attorney mental impressions and case strategy</t>
  </si>
  <si>
    <t xml:space="preserve">TF-PRIV-000616 – TF-PRIV-000625</t>
  </si>
  <si>
    <t xml:space="preserve">June 10, 2021</t>
  </si>
  <si>
    <t xml:space="preserve">Re: CERCLA Defense Strategy — Contamination Source Analysis</t>
  </si>
  <si>
    <t xml:space="preserve">Attorney-client communication between Deputy General Counsel and outside litigation counsel discussing CERCLA defense strategy and contamination source attribution analysis</t>
  </si>
  <si>
    <t xml:space="preserve">Log describes a Kapadia-Marsh exchange (6/10/2021), but the logged document is Pruitt's 6/14/2021 forward of that exchange to Dr. Reese at Graystone "to help your work." Graystone was a routine MSA vendor with no CIA or counsel-directed retention at that time; Marsh's own email warned that sharing with Graystone could waive privilege. Reese is now a testifying expert, so anything he considered is discoverable. Log misidentifies author, recipient and date.</t>
  </si>
  <si>
    <t xml:space="preserve">Correct log to reflect the forward. Evaluate FRE 502(b) (unauthorized employee disclosure) and demand Graystone sequester; determine whether Reese considered it. Underlying 6/10-6/11 emails in Thornfield's own files may be separately logged, but expect waiver argument.</t>
  </si>
  <si>
    <t xml:space="preserve">TF-PRIV-000626 – TF-PRIV-000632</t>
  </si>
  <si>
    <t xml:space="preserve">January 15, 2021</t>
  </si>
  <si>
    <t xml:space="preserve">Re: Research Memo — Arranger Liability Under CERCLA</t>
  </si>
  <si>
    <t xml:space="preserve">Attorney work product research memorandum analyzing arranger liability under CERCLA Section 107(a)(3) and Burlington Northern standards</t>
  </si>
  <si>
    <t xml:space="preserve">TF-PRIV-000633 – TF-PRIV-000640</t>
  </si>
  <si>
    <t xml:space="preserve">January 20, 2021</t>
  </si>
  <si>
    <t xml:space="preserve">Re: Legal Advice — Groundwater Monitoring Well Installation</t>
  </si>
  <si>
    <t xml:space="preserve">Communication from General Counsel to VP of EHS providing legal advice regarding groundwater monitoring well installation obligations and regulatory compliance</t>
  </si>
  <si>
    <t xml:space="preserve">TF-PRIV-000641 – TF-PRIV-000648</t>
  </si>
  <si>
    <t xml:space="preserve">January 25, 2021</t>
  </si>
  <si>
    <t xml:space="preserve">Re: Interrogatory Response Review — Draft</t>
  </si>
  <si>
    <t xml:space="preserve">Communication from outside counsel to General Counsel attaching draft interrogatory responses for review and providing legal guidance on response strategy</t>
  </si>
  <si>
    <t xml:space="preserve">TF-PRIV-000649 – TF-PRIV-000655</t>
  </si>
  <si>
    <t xml:space="preserve">February 1, 2021</t>
  </si>
  <si>
    <t xml:space="preserve">Re: Legal Guidance — Document Retention Compliance</t>
  </si>
  <si>
    <t xml:space="preserve">Communication from Deputy General Counsel to Director of Operations providing legal guidance on document retention compliance obligations during pending litigation</t>
  </si>
  <si>
    <t xml:space="preserve">TF-PRIV-000656 – TF-PRIV-000665</t>
  </si>
  <si>
    <t xml:space="preserve">February 10, 2021</t>
  </si>
  <si>
    <t xml:space="preserve">Re: Document Production Strategy — Phased Approach</t>
  </si>
  <si>
    <t xml:space="preserve">Communication from outside counsel to General Counsel discussing phased document production strategy and privilege review priorities for Meridian litigation</t>
  </si>
  <si>
    <t xml:space="preserve">TF-PRIV-000666 – TF-PRIV-000672</t>
  </si>
  <si>
    <t xml:space="preserve">February 20, 2021</t>
  </si>
  <si>
    <t xml:space="preserve">Re: Research Memo — Operator Liability Standards Under CERCLA</t>
  </si>
  <si>
    <t xml:space="preserve">Attorney work product research memorandum analyzing operator liability standards under CERCLA and relevant Third Circuit case law regarding direct and indirect operator theories</t>
  </si>
  <si>
    <t xml:space="preserve">TF-PRIV-000673 – TF-PRIV-000682</t>
  </si>
  <si>
    <t xml:space="preserve">March 15, 2021</t>
  </si>
  <si>
    <t xml:space="preserve">James Whitmore, Esq.</t>
  </si>
  <si>
    <t xml:space="preserve">Re: CERCLA Liability Allocation Analysis</t>
  </si>
  <si>
    <t xml:space="preserve">JCI</t>
  </si>
  <si>
    <t xml:space="preserve">Communication between co-defendants' counsel pursuant to common interest agreement sharing legal analysis of CERCLA liability allocation between Thornfield and Garfield</t>
  </si>
  <si>
    <t xml:space="preserve">JCI claimed, but sent 3/15/2021 - nearly 5 months before Garfield CIA (8/3/2021). CIA §2.4/§5.4 disclaim retroactivity and §7.2 recites no prior agreements. Email itself shows parties were only evaluating whether to cooperate and shares Thornfield's internal allocation analysis (65-70% Thornfield) with a co-defendant whose interests are adverse on allocation. Log falsely states "pursuant to common interest agreement."</t>
  </si>
  <si>
    <t xml:space="preserve">Withdraw JCI claim; produce (or assert only an informal Teleglobe common-interest argument, which is weak). Correct description.</t>
  </si>
  <si>
    <t xml:space="preserve">TF-PRIV-000683 – TF-PRIV-000690</t>
  </si>
  <si>
    <t xml:space="preserve">March 18, 2021</t>
  </si>
  <si>
    <t xml:space="preserve">Re: Fact Witness Preparation — Donald Pruitt</t>
  </si>
  <si>
    <t xml:space="preserve">Communication from General Counsel to outside counsel regarding preparation strategy for deposition of VP of EHS in Meridian environmental litigation</t>
  </si>
  <si>
    <t xml:space="preserve">TF-PRIV-000691 – TF-PRIV-000698</t>
  </si>
  <si>
    <t xml:space="preserve">March 22, 2021</t>
  </si>
  <si>
    <t xml:space="preserve">Re: Expert Witness Identification — Environmental Science</t>
  </si>
  <si>
    <t xml:space="preserve">Communication from outside counsel to General Counsel discussing identification and evaluation of potential environmental science expert witnesses, reflecting attorney mental impressions and litigation strategy</t>
  </si>
  <si>
    <t xml:space="preserve">TF-PRIV-000699 – TF-PRIV-000705</t>
  </si>
  <si>
    <t xml:space="preserve">April 1, 2021</t>
  </si>
  <si>
    <t xml:space="preserve">Re: Research Memo — NJ Spill Act Cleanup Standards</t>
  </si>
  <si>
    <t xml:space="preserve">Attorney work product research memorandum analyzing NJ Spill Act cleanup standards and remediation obligations applicable to Edison facility conditions</t>
  </si>
  <si>
    <t xml:space="preserve">TF-PRIV-000706 – TF-PRIV-000712</t>
  </si>
  <si>
    <t xml:space="preserve">April 8, 2021</t>
  </si>
  <si>
    <t xml:space="preserve">Re: New NJDEP Reporting Requirements</t>
  </si>
  <si>
    <t xml:space="preserve">Communication with counsel re: regulatory strategy for new NJDEP reporting requirements</t>
  </si>
  <si>
    <t xml:space="preserve">Molina (non-attorney) to Choi/Pruitt summarizing NJDEP stakeholder briefing. No attorney; operational guidance. Log falsely describes as "communication with counsel."</t>
  </si>
  <si>
    <t xml:space="preserve">TF-PRIV-000713 – TF-PRIV-000720</t>
  </si>
  <si>
    <t xml:space="preserve">April 15, 2021</t>
  </si>
  <si>
    <t xml:space="preserve">Re: Q1 2021 Litigation Status Report</t>
  </si>
  <si>
    <t xml:space="preserve">Memorandum from General Counsel to CEO providing quarterly privileged legal update on Meridian environmental litigation status and strategic outlook</t>
  </si>
  <si>
    <t xml:space="preserve">TF-PRIV-000721 – TF-PRIV-000730</t>
  </si>
  <si>
    <t xml:space="preserve">May 2, 2021</t>
  </si>
  <si>
    <t xml:space="preserve">Rachel Dunn, Esq.</t>
  </si>
  <si>
    <t xml:space="preserve">Re: Joint Defense Strategy — Draft Memorandum</t>
  </si>
  <si>
    <t xml:space="preserve">Communication between co-defendants' counsel pursuant to common interest agreement sharing draft joint defense strategy memorandum</t>
  </si>
  <si>
    <t xml:space="preserve">JCI claimed for 5/2/2021 draft joint defense memo sent to Garfield counsel pre-CIA; memo itself says the arrangement is not yet formalized. CIA expressly non-retroactive. Contains Thornfield's allocation position (Garfield 35-45%).</t>
  </si>
  <si>
    <t xml:space="preserve">Withdraw JCI claim or prepare fallback informal common-interest argument (stronger than #85 because memo reflects a shared defense purpose); expect to lose. Correct description.</t>
  </si>
  <si>
    <t xml:space="preserve">TF-PRIV-000731 – TF-PRIV-000738</t>
  </si>
  <si>
    <t xml:space="preserve">May 8, 2021</t>
  </si>
  <si>
    <t xml:space="preserve">Re: Research Memo — Consent Decree Implications in CERCLA Actions</t>
  </si>
  <si>
    <t xml:space="preserve">Attorney work product research memorandum analyzing consent decree implications and contribution protection under CERCLA Section 113(f)(2)</t>
  </si>
  <si>
    <t xml:space="preserve">TF-PRIV-000739 – TF-PRIV-000748</t>
  </si>
  <si>
    <t xml:space="preserve">May 15, 2021</t>
  </si>
  <si>
    <t xml:space="preserve">Re: Expert Retention Strategy</t>
  </si>
  <si>
    <t xml:space="preserve">Communication from outside counsel to Deputy General Counsel (cc: paralegal) discussing strategy for retaining environmental and technical experts for litigation support, reflecting attorney mental impressions and case strategy</t>
  </si>
  <si>
    <t xml:space="preserve">Outside counsel to Deputy GC (cc paralegal) on expert retention strategy - ACP/WP defensible. But log date (5/15/2021) conflicts with document date (4/14/2021), and the document references fees "through June 2024" - an anachronism that must be resolved before the entry is defended.</t>
  </si>
  <si>
    <t xml:space="preserve">Maintain; correct date; verify document integrity/metadata.</t>
  </si>
  <si>
    <t xml:space="preserve">TF-PRIV-000749 – TF-PRIV-000755</t>
  </si>
  <si>
    <t xml:space="preserve">May 20, 2021</t>
  </si>
  <si>
    <t xml:space="preserve">Re: Legal Advice — NJDEP Compliance Order Response</t>
  </si>
  <si>
    <t xml:space="preserve">Communication from General Counsel to VP of EHS providing legal advice regarding response to NJDEP compliance order and recommended corrective actions</t>
  </si>
  <si>
    <t xml:space="preserve">TF-PRIV-000756 – TF-PRIV-000762</t>
  </si>
  <si>
    <t xml:space="preserve">May 25, 2021</t>
  </si>
  <si>
    <t xml:space="preserve">Re: Research Memo — Natural Resource Damages Under CERCLA</t>
  </si>
  <si>
    <t xml:space="preserve">Attorney work product research memorandum analyzing natural resource damages claims under CERCLA Section 107(a)(4)(C) and applicable assessment methodologies</t>
  </si>
  <si>
    <t xml:space="preserve">TF-PRIV-000763 – TF-PRIV-000775</t>
  </si>
  <si>
    <t xml:space="preserve">June 30, 2019</t>
  </si>
  <si>
    <t xml:space="preserve">Graystone Q2 2019 Environmental Sampling Report — Edison Plant</t>
  </si>
  <si>
    <t xml:space="preserve">Environmental sampling report prepared in anticipation of litigation documenting groundwater and soil conditions at Edison facility</t>
  </si>
  <si>
    <t xml:space="preserve">Graystone Q2 2019 routine quarterly sampling report under MSA; ordinary course, no attorney, pre-litigation. Also in testifying expert's considered materials. Log date (6/30/2019) differs from report date (6/28/2019). Log falsely claims "prepared in anticipation of litigation."</t>
  </si>
  <si>
    <t xml:space="preserve">Withdraw WP; produce.</t>
  </si>
  <si>
    <t xml:space="preserve">TF-PRIV-000776 – TF-PRIV-000782</t>
  </si>
  <si>
    <t xml:space="preserve">June 5, 2021</t>
  </si>
  <si>
    <t xml:space="preserve">Re: Settlement Valuation — Preliminary Analysis</t>
  </si>
  <si>
    <t xml:space="preserve">Outside counsel's privileged memorandum providing preliminary settlement valuation analysis and strategic recommendations, reflecting attorney mental impressions</t>
  </si>
  <si>
    <t xml:space="preserve">TF-PRIV-000783 – TF-PRIV-000790</t>
  </si>
  <si>
    <t xml:space="preserve">Re: Settlement Authority Discussion — Board Guidance</t>
  </si>
  <si>
    <t xml:space="preserve">Communication from General Counsel to outside counsel discussing board guidance regarding settlement authority parameters for Meridian litigation</t>
  </si>
  <si>
    <t xml:space="preserve">TF-PRIV-000791 – TF-PRIV-000798</t>
  </si>
  <si>
    <t xml:space="preserve">June 15, 2021</t>
  </si>
  <si>
    <t xml:space="preserve">Re: Research Memo — Equitable Factors in CERCLA Allocation</t>
  </si>
  <si>
    <t xml:space="preserve">Attorney work product research memorandum analyzing equitable factors considered in CERCLA cost allocation proceedings under Section 113(f)</t>
  </si>
  <si>
    <t xml:space="preserve">TF-PRIV-000799 – TF-PRIV-000805</t>
  </si>
  <si>
    <t xml:space="preserve">June 20, 2021</t>
  </si>
  <si>
    <t xml:space="preserve">Re: Legal Analysis — Remedial Investigation Work Plan Review</t>
  </si>
  <si>
    <t xml:space="preserve">Communication from Deputy General Counsel to VP of EHS providing legal analysis of remedial investigation work plan and regulatory compliance implications</t>
  </si>
  <si>
    <t xml:space="preserve">TF-PRIV-000806 – TF-PRIV-000812</t>
  </si>
  <si>
    <t xml:space="preserve">June 25, 2021</t>
  </si>
  <si>
    <t xml:space="preserve">Re: Daubert Challenge Strategy — Plaintiff's Expert</t>
  </si>
  <si>
    <t xml:space="preserve">Communication from outside counsel to General Counsel discussing strategy for potential Daubert challenge to plaintiff's contamination source expert, reflecting attorney mental impressions</t>
  </si>
  <si>
    <t xml:space="preserve">TF-PRIV-000813 – TF-PRIV-000820</t>
  </si>
  <si>
    <t xml:space="preserve">Re: Litigation Strategy Assessment — CERCLA Claims</t>
  </si>
  <si>
    <t xml:space="preserve">Outside counsel's privileged legal analysis of litigation strategy for defense of CERCLA cost recovery claims</t>
  </si>
  <si>
    <t xml:space="preserve">Log describes Marsh-to-Langford 9/8/2020 litigation assessment, but document is Langford's 9/10/2020 forward of the full assessment to Annette Sorensen at Ridgeline Risk Partners (insurance broker) for a policy-renewal submission. Ridgeline is not a law firm and is excluded from both CIAs; GC's own 8/30/2020 memo warned not to share with Ridgeline. Voluntary disclosure by an authorized officer.</t>
  </si>
  <si>
    <t xml:space="preserve">Correct log. Treat as waived; request Ridgeline return/destroy; assess FRE 502(a) subject-matter waiver exposure.</t>
  </si>
  <si>
    <t xml:space="preserve">TF-PRIV-000821 – TF-PRIV-000828</t>
  </si>
  <si>
    <t xml:space="preserve">July 5, 2021</t>
  </si>
  <si>
    <t xml:space="preserve">Re: Q2 2021 Litigation Status Report</t>
  </si>
  <si>
    <t xml:space="preserve">Memorandum from General Counsel to CEO providing quarterly privileged legal update on Meridian environmental litigation status, settlement posture, and strategic outlook</t>
  </si>
  <si>
    <t xml:space="preserve">TF-PRIV-000829 – TF-PRIV-000836</t>
  </si>
  <si>
    <t xml:space="preserve">July 22, 2021</t>
  </si>
  <si>
    <t xml:space="preserve">DataStream Document Solutions LLC</t>
  </si>
  <si>
    <t xml:space="preserve">Re: Document Review Search Terms and Protocols</t>
  </si>
  <si>
    <t xml:space="preserve">Attorney work product communication from junior associate to document review vendor outlining search terms, coding protocols, and review workflows reflecting attorney mental impressions and litigation strategy</t>
  </si>
  <si>
    <t xml:space="preserve">Work product to DataStream (litigation vendor retained by CLM - agent; disclosure to non-adversary does not waive WP). Log date (7/22/2021) conflicts with document (10/14/2021); recipient should name Jason Falk; cc Torano omitted.</t>
  </si>
  <si>
    <t xml:space="preserve">Maintain WP; correct date, recipient and cc.</t>
  </si>
  <si>
    <t xml:space="preserve">TF-PRIV-000837 – TF-PRIV-000845</t>
  </si>
  <si>
    <t xml:space="preserve">July 28, 2021</t>
  </si>
  <si>
    <t xml:space="preserve">Re: Witness List — Preliminary Identification</t>
  </si>
  <si>
    <t xml:space="preserve">Communication from outside counsel to General Counsel discussing preliminary identification of potential witnesses and deposition strategy for Meridian litigation</t>
  </si>
  <si>
    <t xml:space="preserve">TF-PRIV-000846 – TF-PRIV-000852</t>
  </si>
  <si>
    <t xml:space="preserve">August 1, 2021</t>
  </si>
  <si>
    <t xml:space="preserve">Re: Research Memo — Remedial Action Standards Under NJ Spill Act</t>
  </si>
  <si>
    <t xml:space="preserve">Attorney work product research memorandum analyzing remedial action standards and cleanup criteria applicable under NJ Spill Act for Edison facility remediation</t>
  </si>
  <si>
    <t xml:space="preserve">TF-PRIV-000853 – TF-PRIV-000860</t>
  </si>
  <si>
    <t xml:space="preserve">August 5, 2021</t>
  </si>
  <si>
    <t xml:space="preserve">Re: Legal Advice — Vapor Intrusion Investigation Requirements</t>
  </si>
  <si>
    <t xml:space="preserve">Communication from General Counsel to VP of EHS providing legal advice regarding vapor intrusion investigation requirements under NJDEP Technical Guidance</t>
  </si>
  <si>
    <t xml:space="preserve">TF-PRIV-000861 – TF-PRIV-000868</t>
  </si>
  <si>
    <t xml:space="preserve">August 10, 2021</t>
  </si>
  <si>
    <t xml:space="preserve">Re: Document Coding Categories and Privilege Review Priorities</t>
  </si>
  <si>
    <t xml:space="preserve">Attorney work product communication from junior associate to document review vendor regarding document coding categories and privilege review prioritization criteria reflecting attorney mental impressions</t>
  </si>
  <si>
    <t xml:space="preserve">Work product to DataStream re coding categories and privilege priorities - defensible. Log date (8/10/2021) conflicts with document (10/14/2021); recipient should name Jordan Kessler.</t>
  </si>
  <si>
    <t xml:space="preserve">Maintain WP; correct date and recipient.</t>
  </si>
  <si>
    <t xml:space="preserve">TF-PRIV-000869 – TF-PRIV-000875</t>
  </si>
  <si>
    <t xml:space="preserve">August 15, 2021</t>
  </si>
  <si>
    <t xml:space="preserve">Re: Common Interest Agreement — Garfield Chemical Co.</t>
  </si>
  <si>
    <t xml:space="preserve">Communication from outside counsel to General Counsel discussing proposed common interest agreement with Garfield Chemical Co. co-defendant counsel and legal analysis of common interest doctrine requirements</t>
  </si>
  <si>
    <t xml:space="preserve">TF-PRIV-000876 – TF-PRIV-000882</t>
  </si>
  <si>
    <t xml:space="preserve">August 18, 2021</t>
  </si>
  <si>
    <t xml:space="preserve">Re: Common Interest Agreement — Executed Copy</t>
  </si>
  <si>
    <t xml:space="preserve">Letter</t>
  </si>
  <si>
    <t xml:space="preserve">Communication between co-defendants' counsel transmitting executed common interest agreement and establishing protocol for privileged information sharing</t>
  </si>
  <si>
    <t xml:space="preserve">Transmittal of executed CIA to Garfield counsel. The CIA is an agreement, not a request for or rendition of legal advice; courts frequently order production of JDAs (at least in camera) when the common-interest claim is challenged.</t>
  </si>
  <si>
    <t xml:space="preserve">Be prepared to produce CIA or submit in camera; consider re-designating as confidential rather than privileged.</t>
  </si>
  <si>
    <t xml:space="preserve">TF-PRIV-000883 – TF-PRIV-000890</t>
  </si>
  <si>
    <t xml:space="preserve">August 22, 2021</t>
  </si>
  <si>
    <t xml:space="preserve">Re: Joint Defense Coordination — Initial Information Exchange</t>
  </si>
  <si>
    <t xml:space="preserve">Communication between co-defendants' counsel pursuant to common interest agreement sharing initial privileged case assessment materials for coordination of CERCLA defense strategy</t>
  </si>
  <si>
    <t xml:space="preserve">TF-PRIV-000891 – TF-PRIV-000896</t>
  </si>
  <si>
    <t xml:space="preserve">February 3, 2021</t>
  </si>
  <si>
    <t xml:space="preserve">Re: Facility Upgrade Timeline</t>
  </si>
  <si>
    <t xml:space="preserve">Discussion of EHS compliance timeline and facility upgrade scheduling</t>
  </si>
  <si>
    <t xml:space="preserve">Choi to Molina - neither is an attorney. Facility upgrade scheduling, permits, budget. Business communication.</t>
  </si>
  <si>
    <t xml:space="preserve">TF-PRIV-000897 – TF-PRIV-000905</t>
  </si>
  <si>
    <t xml:space="preserve">September 1, 2021</t>
  </si>
  <si>
    <t xml:space="preserve">Re: Summary of Key Document Productions</t>
  </si>
  <si>
    <t xml:space="preserve">Communication from outside counsel to General Counsel summarizing key documents produced by plaintiff and analyzing their implications for defense strategy</t>
  </si>
  <si>
    <t xml:space="preserve">TF-PRIV-000906 – TF-PRIV-000912</t>
  </si>
  <si>
    <t xml:space="preserve">September 5, 2021</t>
  </si>
  <si>
    <t xml:space="preserve">Re: Legal Guidance — Third-Party Contractor Access to Edison Facility</t>
  </si>
  <si>
    <t xml:space="preserve">Communication from Deputy General Counsel to Director of Operations providing legal guidance on third-party contractor access protocols at Edison facility during pending litigation</t>
  </si>
  <si>
    <t xml:space="preserve">TF-PRIV-000913 – TF-PRIV-000920</t>
  </si>
  <si>
    <t xml:space="preserve">September 8, 2021</t>
  </si>
  <si>
    <t xml:space="preserve">Re: Research Memo — CERCLA Timing of Removal/Remedial Actions</t>
  </si>
  <si>
    <t xml:space="preserve">Attorney work product research memorandum analyzing timing requirements for CERCLA removal and remedial actions and implications for damages calculations</t>
  </si>
  <si>
    <t xml:space="preserve">TF-PRIV-000921 – TF-PRIV-000928</t>
  </si>
  <si>
    <t xml:space="preserve">September 10, 2021</t>
  </si>
  <si>
    <t xml:space="preserve">Re: Joint Defense — Coordinated Discovery Responses</t>
  </si>
  <si>
    <t xml:space="preserve">Communication between co-defendants' counsel pursuant to common interest agreement coordinating discovery response strategy to avoid inconsistencies in CERCLA litigation</t>
  </si>
  <si>
    <t xml:space="preserve">TF-PRIV-000929 – TF-PRIV-000935</t>
  </si>
  <si>
    <t xml:space="preserve">September 15, 2021</t>
  </si>
  <si>
    <t xml:space="preserve">Re: Privilege Log Preparation — Initial Review</t>
  </si>
  <si>
    <t xml:space="preserve">Communication from General Counsel to outside counsel discussing privilege log preparation approach and identification of potentially privileged documents for Meridian litigation</t>
  </si>
  <si>
    <t xml:space="preserve">TF-PRIV-000936 – TF-PRIV-000942</t>
  </si>
  <si>
    <t xml:space="preserve">September 18, 2021</t>
  </si>
  <si>
    <t xml:space="preserve">Re: Privilege Review Summary — First Production Set</t>
  </si>
  <si>
    <t xml:space="preserve">Attorney work product memorandum summarizing privilege review findings for first document production set, reflecting attorney mental impressions regarding categorization decisions</t>
  </si>
  <si>
    <t xml:space="preserve">TF-PRIV-000943 – TF-PRIV-000950</t>
  </si>
  <si>
    <t xml:space="preserve">Re: Vendor Contract Status and Legal Review</t>
  </si>
  <si>
    <t xml:space="preserve">Communication seeking legal advice from General Counsel re: vendor contract negotiations and legal compliance of waste transport arrangements</t>
  </si>
  <si>
    <t xml:space="preserve">Choi to GC; document is expressly "NOT MARKED PRIVILEGED." Predominantly vendor pricing, supply terms, production schedule; one closing sentence requests legal review of transport agreement. Predominant purpose is business.</t>
  </si>
  <si>
    <t xml:space="preserve">Produce with narrow redaction of closing legal-advice request; log the redaction.</t>
  </si>
  <si>
    <t xml:space="preserve">TF-PRIV-000951 – TF-PRIV-000958</t>
  </si>
  <si>
    <t xml:space="preserve">September 25, 2021</t>
  </si>
  <si>
    <t xml:space="preserve">Re: Insurance Coverage Analysis — CGL Policies</t>
  </si>
  <si>
    <t xml:space="preserve">Communication from outside counsel to General Counsel providing legal analysis of comprehensive general liability insurance coverage for CERCLA defense costs and potential indemnity</t>
  </si>
  <si>
    <t xml:space="preserve">TF-PRIV-000959 – TF-PRIV-000965</t>
  </si>
  <si>
    <t xml:space="preserve">September 28, 2021</t>
  </si>
  <si>
    <t xml:space="preserve">Re: Legal Analysis — Environmental Reserve Accounting</t>
  </si>
  <si>
    <t xml:space="preserve">Communication from Deputy General Counsel to CFO providing legal analysis of environmental reserve accounting obligations and disclosure requirements in connection with pending litigation</t>
  </si>
  <si>
    <t xml:space="preserve">Deputy GC to CFO re environmental reserve accounting. Reserve-accounting guidance may be predominantly financial, and reserve information is commonly shared with outside auditors (Pendleton &amp; Associates), which may waive ACP.</t>
  </si>
  <si>
    <t xml:space="preserve">Review document; confirm legal (not accounting) purpose and no auditor disclosure.</t>
  </si>
  <si>
    <t xml:space="preserve">TF-PRIV-000966 – TF-PRIV-000972</t>
  </si>
  <si>
    <t xml:space="preserve">October 1, 2021</t>
  </si>
  <si>
    <t xml:space="preserve">Re: Research Memo — De Minimis Settlement Provisions Under CERCLA</t>
  </si>
  <si>
    <t xml:space="preserve">Attorney work product research memorandum analyzing de minimis settlement provisions under CERCLA Section 122(g) and potential applicability to Thornfield</t>
  </si>
  <si>
    <t xml:space="preserve">TF-PRIV-000973 – TF-PRIV-000980</t>
  </si>
  <si>
    <t xml:space="preserve">October 3, 2021</t>
  </si>
  <si>
    <t xml:space="preserve">Re: Mediation Strategy — Early Assessment</t>
  </si>
  <si>
    <t xml:space="preserve">Communication from outside counsel to General Counsel providing early assessment of mediation strategy and settlement posture for Meridian environmental litigation</t>
  </si>
  <si>
    <t xml:space="preserve">TF-PRIV-000981 – TF-PRIV-000988</t>
  </si>
  <si>
    <t xml:space="preserve">October 5, 2021</t>
  </si>
  <si>
    <t xml:space="preserve">Re: Legal Advice — Remedial Design Approval Process</t>
  </si>
  <si>
    <t xml:space="preserve">Communication from General Counsel to VP of EHS providing legal advice regarding remedial design approval process and regulatory submissions to NJDEP</t>
  </si>
  <si>
    <t xml:space="preserve">TF-PRIV-000989 – TF-PRIV-000995</t>
  </si>
  <si>
    <t xml:space="preserve">October 8, 2021</t>
  </si>
  <si>
    <t xml:space="preserve">Re: Joint Defense — Allocation Model Discussion</t>
  </si>
  <si>
    <t xml:space="preserve">Communication between co-defendants' counsel pursuant to common interest agreement discussing proposed CERCLA liability allocation model and coordinated defense positions</t>
  </si>
  <si>
    <t xml:space="preserve">TF-PRIV-000996 – TF-PRIV-001002</t>
  </si>
  <si>
    <t xml:space="preserve">October 12, 2021</t>
  </si>
  <si>
    <t xml:space="preserve">Re: Research Memo — Recoverable Response Costs Under CERCLA</t>
  </si>
  <si>
    <t xml:space="preserve">Attorney work product research memorandum analyzing categories of recoverable response costs under CERCLA Section 107 and applicable cost documentation standards</t>
  </si>
  <si>
    <t xml:space="preserve">TF-PRIV-001003 – TF-PRIV-001010</t>
  </si>
  <si>
    <t xml:space="preserve">October 15, 2021</t>
  </si>
  <si>
    <t xml:space="preserve">Re: Fact Witness Interview Summary — Keith Brannigan</t>
  </si>
  <si>
    <t xml:space="preserve">Communication from General Counsel to outside counsel providing summary of fact witness interview with plant operations manager and legal analysis of key testimony topics</t>
  </si>
  <si>
    <t xml:space="preserve">TF-PRIV-001011 – TF-PRIV-001022</t>
  </si>
  <si>
    <t xml:space="preserve">August 30, 2020</t>
  </si>
  <si>
    <t xml:space="preserve">Re: CERCLA Defense Strategy Analysis</t>
  </si>
  <si>
    <t xml:space="preserve">Privileged legal memorandum from General Counsel to CEO analyzing CERCLA defense strategy and litigation risk assessment</t>
  </si>
  <si>
    <t xml:space="preserve">Log describes 8/30/2020 GC-to-CEO memo, but the logged Bates range begins with GC's 9/15/2020 transmittal of that memo to NJDEP Asst. Commissioner Bettini - an opposing party (co-plaintiff) - in settlement talks. Voluntary disclosure to an adversary waives privilege; the memo itself warned that disclosure would waive. Log omits the transmittal and recipient.</t>
  </si>
  <si>
    <t xml:space="preserve">Correct log; withdraw claim for the disclosed memo. Prepare for FRE 502(a) subject-matter waiver motion; consider FRE 408 limits on use. Escalate to Langford immediately.</t>
  </si>
  <si>
    <t xml:space="preserve">TF-PRIV-001023 – TF-PRIV-001030</t>
  </si>
  <si>
    <t xml:space="preserve">October 20, 2021</t>
  </si>
  <si>
    <t xml:space="preserve">Re: Deposition Preparation — Sandra Choi</t>
  </si>
  <si>
    <t xml:space="preserve">Communication from outside counsel to General Counsel discussing deposition preparation strategy for Director of Operations testimony in Meridian litigation</t>
  </si>
  <si>
    <t xml:space="preserve">TF-PRIV-001031 – TF-PRIV-001038</t>
  </si>
  <si>
    <t xml:space="preserve">October 22, 2021</t>
  </si>
  <si>
    <t xml:space="preserve">Re: Deposition Outline — Sandra Choi</t>
  </si>
  <si>
    <t xml:space="preserve">Attorney work product deposition preparation outline for Sandra Choi reflecting attorney mental impressions regarding anticipated cross-examination topics and defense strategy</t>
  </si>
  <si>
    <t xml:space="preserve">TF-PRIV-001039 – TF-PRIV-001045</t>
  </si>
  <si>
    <t xml:space="preserve">October 25, 2021</t>
  </si>
  <si>
    <t xml:space="preserve">Re: Legal Advice — Deposition Testimony Obligations</t>
  </si>
  <si>
    <t xml:space="preserve">Communication from General Counsel to Director of Operations providing legal advice regarding deposition testimony obligations and preparation for upcoming deposition</t>
  </si>
  <si>
    <t xml:space="preserve">TF-PRIV-001046 – TF-PRIV-001052</t>
  </si>
  <si>
    <t xml:space="preserve">October 28, 2021</t>
  </si>
  <si>
    <t xml:space="preserve">Re: Post-Deposition Assessment — Sandra Choi</t>
  </si>
  <si>
    <t xml:space="preserve">Communication from outside counsel to General Counsel providing post-deposition assessment and analysis of Director of Operations testimony and implications for case strategy</t>
  </si>
  <si>
    <t xml:space="preserve">TF-PRIV-001053 – TF-PRIV-001060</t>
  </si>
  <si>
    <t xml:space="preserve">November 1, 2021</t>
  </si>
  <si>
    <t xml:space="preserve">Re: Legal Analysis — NJDEP Remedial Action Permit Requirements</t>
  </si>
  <si>
    <t xml:space="preserve">Communication from Deputy General Counsel to VP of EHS providing legal analysis of NJDEP remedial action permit requirements and compliance obligations for Edison facility</t>
  </si>
  <si>
    <t xml:space="preserve">TF-PRIV-001061 – TF-PRIV-001072</t>
  </si>
  <si>
    <t xml:space="preserve">November 15, 2019</t>
  </si>
  <si>
    <t xml:space="preserve">Graystone Q4 2019 Compliance Monitoring Report — Edison Plant</t>
  </si>
  <si>
    <t xml:space="preserve">Environmental compliance monitoring report prepared in anticipation of litigation documenting ongoing contamination conditions at Edison facility</t>
  </si>
  <si>
    <t xml:space="preserve">Graystone Q4 2019 routine monitoring report under MSA. Distribution to Langford (then GC) does not make an ordinary-course business report privileged; no request for legal advice; pre-litigation. In testifying expert's considered materials. Log date (11/15/2019) conflicts with report date (12/20/2019).</t>
  </si>
  <si>
    <t xml:space="preserve">TF-PRIV-001073 – TF-PRIV-001080</t>
  </si>
  <si>
    <t xml:space="preserve">November 5, 2021</t>
  </si>
  <si>
    <t xml:space="preserve">Re: Joint Defense — Expert Witness Coordination</t>
  </si>
  <si>
    <t xml:space="preserve">Communication between co-defendants' counsel pursuant to common interest agreement coordinating expert witness retention and testimony strategy for CERCLA defense</t>
  </si>
  <si>
    <t xml:space="preserve">TF-PRIV-001081 – TF-PRIV-001088</t>
  </si>
  <si>
    <t xml:space="preserve">November 8, 2021</t>
  </si>
  <si>
    <t xml:space="preserve">Re: Research Memo — Medical Monitoring Claims in Environmental Litigation</t>
  </si>
  <si>
    <t xml:space="preserve">Attorney work product research memorandum analyzing medical monitoring claim standards under New Jersey law and potential exposure in Meridian litigation</t>
  </si>
  <si>
    <t xml:space="preserve">TF-PRIV-001089 – TF-PRIV-001095</t>
  </si>
  <si>
    <t xml:space="preserve">November 10, 2021</t>
  </si>
  <si>
    <t xml:space="preserve">Re: Q3 2021 Litigation Status Report</t>
  </si>
  <si>
    <t xml:space="preserve">Memorandum from General Counsel to CEO providing quarterly privileged legal update on Meridian environmental litigation status, discovery progress, and strategic outlook</t>
  </si>
  <si>
    <t xml:space="preserve">TF-PRIV-001096 – TF-PRIV-001102</t>
  </si>
  <si>
    <t xml:space="preserve">November 12, 2021</t>
  </si>
  <si>
    <t xml:space="preserve">Re: Damages Assessment — Preliminary Framework</t>
  </si>
  <si>
    <t xml:space="preserve">Outside counsel's privileged memorandum outlining preliminary damages assessment framework and strategic recommendations for responding to plaintiff's damages theories</t>
  </si>
  <si>
    <t xml:space="preserve">TF-PRIV-001103 – TF-PRIV-001108</t>
  </si>
  <si>
    <t xml:space="preserve">November 15, 2021</t>
  </si>
  <si>
    <t xml:space="preserve">Re: Legal Guidance — Environmental Data Management During Litigation</t>
  </si>
  <si>
    <t xml:space="preserve">Communication from Deputy General Counsel to Director of Operations providing legal guidance on environmental data management practices during pending litigation</t>
  </si>
  <si>
    <t xml:space="preserve">TF-PRIV-001109 – TF-PRIV-001115</t>
  </si>
  <si>
    <t xml:space="preserve">November 18, 2021</t>
  </si>
  <si>
    <t xml:space="preserve">Re: Joint Defense — Response to Plaintiff's Settlement Demand</t>
  </si>
  <si>
    <t xml:space="preserve">Communication between co-defendants' counsel pursuant to common interest agreement discussing coordinated response strategy to plaintiff's settlement demand in Meridian litigation</t>
  </si>
  <si>
    <t xml:space="preserve">TF-PRIV-001116 – TF-PRIV-001122</t>
  </si>
  <si>
    <t xml:space="preserve">August 20, 2021</t>
  </si>
  <si>
    <t xml:space="preserve">Re: Regulatory Engagement Strategy</t>
  </si>
  <si>
    <t xml:space="preserve">Communication with counsel re: regulatory engagement strategy with state agencies</t>
  </si>
  <si>
    <t xml:space="preserve">Molina (non-attorney) to CEO re lobbying/regulatory engagement. She calls herself "your regulatory counsel," but org chart confirms she is not a lawyer and has never given legal advice. Log falsely describes as "communication with counsel."</t>
  </si>
  <si>
    <t xml:space="preserve">TF-PRIV-001123 – TF-PRIV-001130</t>
  </si>
  <si>
    <t xml:space="preserve">November 22, 2021</t>
  </si>
  <si>
    <t xml:space="preserve">Re: Research Memo — Punitive Damages in NJ Environmental Actions</t>
  </si>
  <si>
    <t xml:space="preserve">Attorney work product research memorandum analyzing punitive damages exposure under New Jersey Spill Act and common law environmental tort claims</t>
  </si>
  <si>
    <t xml:space="preserve">TF-PRIV-001131 – TF-PRIV-001138</t>
  </si>
  <si>
    <t xml:space="preserve">Re: Joint Defense Coordination — CERCLA Response Strategy</t>
  </si>
  <si>
    <t xml:space="preserve">Communication between co-defendants' counsel pursuant to common interest agreement dated August 3, 2021 discussing coordinated defense strategy for CERCLA cost recovery claims</t>
  </si>
  <si>
    <t xml:space="preserve">Post-CIA (9/10/2021) counsel-to-counsel coordination of CERCLA defense; within CIA §2.2 scope; properly marked.</t>
  </si>
  <si>
    <t xml:space="preserve">Maintain JCI (with underlying ACP/WP).</t>
  </si>
  <si>
    <t xml:space="preserve">TF-PRIV-001139 – TF-PRIV-001145</t>
  </si>
  <si>
    <t xml:space="preserve">December 1, 2021</t>
  </si>
  <si>
    <t xml:space="preserve">Re: Settlement Evaluation — Updated Risk Analysis</t>
  </si>
  <si>
    <t xml:space="preserve">Communication from General Counsel to outside counsel providing updated settlement evaluation and legal risk analysis for Meridian environmental litigation</t>
  </si>
  <si>
    <t xml:space="preserve">TF-PRIV-001146 – TF-PRIV-001152</t>
  </si>
  <si>
    <t xml:space="preserve">December 5, 2021</t>
  </si>
  <si>
    <t xml:space="preserve">Re: Mediation Preparation — Position Paper Draft</t>
  </si>
  <si>
    <t xml:space="preserve">Communication from outside counsel to General Counsel attaching draft mediation position paper reflecting attorney mental impressions and settlement strategy analysis</t>
  </si>
  <si>
    <t xml:space="preserve">TF-PRIV-001153 – TF-PRIV-001160</t>
  </si>
  <si>
    <t xml:space="preserve">December 8, 2021</t>
  </si>
  <si>
    <t xml:space="preserve">Re: Research Memo — Remediation Cost Estimation Methodologies</t>
  </si>
  <si>
    <t xml:space="preserve">Attorney work product research memorandum analyzing remediation cost estimation methodologies and evidentiary requirements for damages proof in CERCLA actions</t>
  </si>
  <si>
    <t xml:space="preserve">TF-PRIV-001161 – TF-PRIV-001165</t>
  </si>
  <si>
    <t xml:space="preserve">Re: Litigation Update</t>
  </si>
  <si>
    <t xml:space="preserve">Confidential communication re: legal matter</t>
  </si>
  <si>
    <t xml:space="preserve">Substantively privileged (GC to Deputy GC re §113(f) strategy). Log date (10/5/2021) vs document (10/18/2021); log subject "Litigation Update" vs actual "CERCLA Contribution Claim Analysis"; description "Confidential communication re: legal matter" is insufficient under Rule 26(b)(5)(A).</t>
  </si>
  <si>
    <t xml:space="preserve">Maintain; correct date, subject, description.</t>
  </si>
  <si>
    <t xml:space="preserve">TF-PRIV-001166 – TF-PRIV-001172</t>
  </si>
  <si>
    <t xml:space="preserve">December 10, 2021</t>
  </si>
  <si>
    <t xml:space="preserve">Re: Joint Defense — Mediation Coordination</t>
  </si>
  <si>
    <t xml:space="preserve">Communication between co-defendants' counsel pursuant to common interest agreement coordinating mediation preparation and joint defense position for Meridian litigation</t>
  </si>
  <si>
    <t xml:space="preserve">TF-PRIV-001173 – TF-PRIV-001180</t>
  </si>
  <si>
    <t xml:space="preserve">October 18, 2021</t>
  </si>
  <si>
    <t xml:space="preserve">Re: Legal Analysis — Vendor Indemnification Under Remediation Contracts</t>
  </si>
  <si>
    <t xml:space="preserve">Communication from Deputy General Counsel to VP of EHS and Director of Operations providing legal analysis of indemnification clauses in remediation vendor contracts in context of ongoing CERCLA litigation</t>
  </si>
  <si>
    <t xml:space="preserve">TF-PRIV-001181 – TF-PRIV-001188</t>
  </si>
  <si>
    <t xml:space="preserve">December 15, 2021</t>
  </si>
  <si>
    <t xml:space="preserve">Re: Year-End 2021 Litigation Report</t>
  </si>
  <si>
    <t xml:space="preserve">Memorandum from General Counsel to CEO providing year-end privileged legal update on Meridian environmental litigation status, settlement prospects, and 2022 strategic outlook</t>
  </si>
  <si>
    <t xml:space="preserve">TF-PRIV-001189 – TF-PRIV-001195</t>
  </si>
  <si>
    <t xml:space="preserve">January 5, 2022</t>
  </si>
  <si>
    <t xml:space="preserve">Re: 2022 Litigation Strategy and Budget</t>
  </si>
  <si>
    <t xml:space="preserve">Communication from outside counsel to General Counsel providing 2022 litigation strategy update and revised budget analysis for Meridian environmental litigation defense</t>
  </si>
  <si>
    <t xml:space="preserve">TF-PRIV-001196 – TF-PRIV-001200</t>
  </si>
  <si>
    <t xml:space="preserve">Re: Case Strategy</t>
  </si>
  <si>
    <t xml:space="preserve">Attorney-client privileged communication</t>
  </si>
  <si>
    <t xml:space="preserve">Internal CLM partner-to-associate email re MSJ strategy - core opinion work product. Log date (11/12/2021) vs document (10/14/2022); description "Attorney-client privileged communication" is conclusory; WP is the stronger basis.</t>
  </si>
  <si>
    <t xml:space="preserve">Maintain; add WP basis; correct date and description.</t>
  </si>
  <si>
    <t xml:space="preserve">TF-PRIV-001201 – TF-PRIV-001208</t>
  </si>
  <si>
    <t xml:space="preserve">January 12, 2022</t>
  </si>
  <si>
    <t xml:space="preserve">Re: Research Memo — Successor Liability in CERCLA Actions</t>
  </si>
  <si>
    <t xml:space="preserve">Attorney work product research memorandum analyzing successor liability theories under CERCLA and implications for contribution claims against former facility operators</t>
  </si>
  <si>
    <t xml:space="preserve">TF-PRIV-001209 – TF-PRIV-001215</t>
  </si>
  <si>
    <t xml:space="preserve">January 15, 2022</t>
  </si>
  <si>
    <t xml:space="preserve">Re: Legal Advice — NJDEP Site Investigation Report Review</t>
  </si>
  <si>
    <t xml:space="preserve">Communication from General Counsel to VP of EHS providing legal advice regarding review of NJDEP site investigation report and legal implications for Edison facility remediation</t>
  </si>
  <si>
    <t xml:space="preserve">TF-PRIV-001216 – TF-PRIV-001222</t>
  </si>
  <si>
    <t xml:space="preserve">January 18, 2022</t>
  </si>
  <si>
    <t xml:space="preserve">Re: Expert Report Review — Dr. Reese Draft</t>
  </si>
  <si>
    <t xml:space="preserve">Communication from outside counsel to General Counsel reviewing draft expert report and providing legal analysis of contamination migration opinions, reflecting attorney mental impressions</t>
  </si>
  <si>
    <t xml:space="preserve">"Expert Report Review - Dr. Reese Draft" dated 1/18/2022, but Reese report states CLM directed that work "beginning in approximately February 2022." Draft reports are protected (Rule 26(b)(4)(B)), but chronology must be reconciled.</t>
  </si>
  <si>
    <t xml:space="preserve">Verify date; maintain protection for draft; ensure log reflects Rule 26(b)(4)(B).</t>
  </si>
  <si>
    <t xml:space="preserve">TF-PRIV-001223 – TF-PRIV-001230</t>
  </si>
  <si>
    <t xml:space="preserve">November 3, 2021</t>
  </si>
  <si>
    <t xml:space="preserve">Re: Production Planning and Discharge Permit</t>
  </si>
  <si>
    <t xml:space="preserve">Communication seeking legal advice from General Counsel re: facility operations and discharge permit legal compliance</t>
  </si>
  <si>
    <t xml:space="preserve">Choi to GC: production, supply chain, vendor dispute, capex; legal question appears only in a P.S. re NJDEP permit application. Predominant purpose business.</t>
  </si>
  <si>
    <t xml:space="preserve">Produce with redaction of P.S. (and any request for legal review of Apex contract); log redaction.</t>
  </si>
  <si>
    <t xml:space="preserve">TF-PRIV-001231 – TF-PRIV-001238</t>
  </si>
  <si>
    <t xml:space="preserve">January 22, 2022</t>
  </si>
  <si>
    <t xml:space="preserve">Re: Legal Analysis — Waste Characterization Requirements</t>
  </si>
  <si>
    <t xml:space="preserve">Communication from Deputy General Counsel to Director of Operations providing legal analysis of waste characterization requirements under RCRA and NJDEP regulations during ongoing remediation</t>
  </si>
  <si>
    <t xml:space="preserve">TF-PRIV-001239 – TF-PRIV-001246</t>
  </si>
  <si>
    <t xml:space="preserve">Re: Deposition Preparation Coordination</t>
  </si>
  <si>
    <t xml:space="preserve">Communication between co-defendants' counsel pursuant to common interest agreement coordinating deposition preparation strategy for fact witnesses</t>
  </si>
  <si>
    <t xml:space="preserve">Post-CIA JCI coordination of deposition prep - defensible. Log omits cc: Philip Torano and Rachel Dunn.</t>
  </si>
  <si>
    <t xml:space="preserve">Maintain; add cc recipients.</t>
  </si>
  <si>
    <t xml:space="preserve">TF-PRIV-001247 – TF-PRIV-001255</t>
  </si>
  <si>
    <t xml:space="preserve">January 28, 2022</t>
  </si>
  <si>
    <t xml:space="preserve">Re: Motion for Partial Summary Judgment — Draft</t>
  </si>
  <si>
    <t xml:space="preserve">Attorney work product draft motion for partial summary judgment on statute of limitations defense reflecting attorney mental impressions and litigation strategy</t>
  </si>
  <si>
    <t xml:space="preserve">TF-PRIV-001256 – TF-PRIV-001262</t>
  </si>
  <si>
    <t xml:space="preserve">February 1, 2022</t>
  </si>
  <si>
    <t xml:space="preserve">Re: Comments on Draft Summary Judgment Motion</t>
  </si>
  <si>
    <t xml:space="preserve">Communication from General Counsel to outside counsel providing privileged comments and legal analysis on draft partial summary judgment motion</t>
  </si>
  <si>
    <t xml:space="preserve">TF-PRIV-001263 – TF-PRIV-001270</t>
  </si>
  <si>
    <t xml:space="preserve">February 5, 2022</t>
  </si>
  <si>
    <t xml:space="preserve">Re: Research Memo — Summary Judgment Standards in CERCLA Cases</t>
  </si>
  <si>
    <t xml:space="preserve">Attorney work product research memorandum analyzing summary judgment standards and burden of proof in CERCLA cost recovery and contribution actions</t>
  </si>
  <si>
    <t xml:space="preserve">TF-PRIV-001271 – TF-PRIV-001280</t>
  </si>
  <si>
    <t xml:space="preserve">April 3, 2022</t>
  </si>
  <si>
    <t xml:space="preserve">Lydia Stanton</t>
  </si>
  <si>
    <t xml:space="preserve">DRAFT — Press Release: Thornfield Environmental Remediation Update</t>
  </si>
  <si>
    <t xml:space="preserve">Draft press release</t>
  </si>
  <si>
    <t xml:space="preserve">Draft document prepared in anticipation of litigation reflecting attorney work product and mental impressions regarding environmental remediation communications strategy</t>
  </si>
  <si>
    <t xml:space="preserve">Draft press release from VP Communications to CFO for public distribution; no attorney involved, not prepared because of litigation, and intended for publication. Log falsely claims "attorney work product and mental impressions."</t>
  </si>
  <si>
    <t xml:space="preserve">TF-PRIV-001281 – TF-PRIV-001288</t>
  </si>
  <si>
    <t xml:space="preserve">February 12, 2022</t>
  </si>
  <si>
    <t xml:space="preserve">Re: Deposition Preparation — Donald Pruitt</t>
  </si>
  <si>
    <t xml:space="preserve">Communication from outside counsel to General Counsel discussing deposition preparation strategy for VP of EHS testimony in Meridian environmental litigation</t>
  </si>
  <si>
    <t xml:space="preserve">TF-PRIV-001289 – TF-PRIV-001295</t>
  </si>
  <si>
    <t xml:space="preserve">February 15, 2022</t>
  </si>
  <si>
    <t xml:space="preserve">Re: Deposition Outline — Donald Pruitt</t>
  </si>
  <si>
    <t xml:space="preserve">Attorney work product deposition preparation outline for Donald Pruitt reflecting attorney mental impressions regarding anticipated examination topics and defense strategy</t>
  </si>
  <si>
    <t xml:space="preserve">TF-PRIV-001296 – TF-PRIV-001302</t>
  </si>
  <si>
    <t xml:space="preserve">February 18, 2022</t>
  </si>
  <si>
    <t xml:space="preserve">Re: Legal Advice — Deposition Preparation</t>
  </si>
  <si>
    <t xml:space="preserve">Communication from General Counsel to VP of EHS providing legal advice regarding deposition testimony obligations and preparation guidelines</t>
  </si>
  <si>
    <t xml:space="preserve">TF-PRIV-001303 – TF-PRIV-001310</t>
  </si>
  <si>
    <t xml:space="preserve">February 22, 2022</t>
  </si>
  <si>
    <t xml:space="preserve">Re: Post-Deposition Assessment — Donald Pruitt</t>
  </si>
  <si>
    <t xml:space="preserve">Communication from outside counsel to General Counsel providing post-deposition assessment of VP of EHS testimony and implications for litigation strategy</t>
  </si>
  <si>
    <t xml:space="preserve">TF-PRIV-001311 – TF-PRIV-001318</t>
  </si>
  <si>
    <t xml:space="preserve">Re: Joint Defense Privilege Protocol</t>
  </si>
  <si>
    <t xml:space="preserve">Communication between co-defendants' counsel pursuant to common interest agreement establishing privilege protocol for shared defense materials in CERCLA litigation</t>
  </si>
  <si>
    <t xml:space="preserve">Post-CIA protocol for handling joint-defense materials, between counsel. Defensible.</t>
  </si>
  <si>
    <t xml:space="preserve">Maintain.</t>
  </si>
  <si>
    <t xml:space="preserve">TF-PRIV-001319 – TF-PRIV-001325</t>
  </si>
  <si>
    <t xml:space="preserve">February 8, 2022</t>
  </si>
  <si>
    <t xml:space="preserve">Re: Research Memo</t>
  </si>
  <si>
    <t xml:space="preserve">Privileged and confidential</t>
  </si>
  <si>
    <t xml:space="preserve">Associate research memo to partner analyzing §113(f) contribution claims - opinion WP. Log date (2/8/2022) vs document (10/14/2021); subject "Re: Research Memo" and description "Privileged and confidential" are insufficient.</t>
  </si>
  <si>
    <t xml:space="preserve">TF-PRIV-001326 – TF-PRIV-001332</t>
  </si>
  <si>
    <t xml:space="preserve">March 1, 2022</t>
  </si>
  <si>
    <t xml:space="preserve">Re: Expert Discovery Strategy</t>
  </si>
  <si>
    <t xml:space="preserve">Communication from outside counsel to General Counsel discussing expert discovery strategy and analysis of plaintiff's expert disclosures in Meridian litigation</t>
  </si>
  <si>
    <t xml:space="preserve">TF-PRIV-001333 – TF-PRIV-001340</t>
  </si>
  <si>
    <t xml:space="preserve">March 5, 2022</t>
  </si>
  <si>
    <t xml:space="preserve">Re: Research Memo — Daubert Standards for Environmental Expert Testimony</t>
  </si>
  <si>
    <t xml:space="preserve">Attorney work product research memorandum analyzing Daubert standards for admissibility of environmental science expert testimony in Third Circuit CERCLA litigation</t>
  </si>
  <si>
    <t xml:space="preserve">TF-PRIV-001341 – TF-PRIV-001348</t>
  </si>
  <si>
    <t xml:space="preserve">March 8, 2022</t>
  </si>
  <si>
    <t xml:space="preserve">Re: Q1 2022 Litigation Status Report</t>
  </si>
  <si>
    <t xml:space="preserve">Memorandum from General Counsel to CEO providing quarterly privileged legal update on Meridian environmental litigation status, expert discovery, and strategic outlook</t>
  </si>
  <si>
    <t xml:space="preserve">TF-PRIV-001349 – TF-PRIV-001355</t>
  </si>
  <si>
    <t xml:space="preserve">March 12, 2022</t>
  </si>
  <si>
    <t xml:space="preserve">Re: Joint Defense — Expert Witness Coordination Update</t>
  </si>
  <si>
    <t xml:space="preserve">Communication between co-defendants' counsel pursuant to common interest agreement coordinating expert witness strategy and avoiding testimonial conflicts</t>
  </si>
  <si>
    <t xml:space="preserve">TF-PRIV-001356 – TF-PRIV-001362</t>
  </si>
  <si>
    <t xml:space="preserve">March 15, 2022</t>
  </si>
  <si>
    <t xml:space="preserve">Re: Legal Guidance — Remediation Contractor Oversight Obligations</t>
  </si>
  <si>
    <t xml:space="preserve">Communication from Deputy General Counsel to VP of EHS providing legal guidance on remediation contractor oversight obligations during active environmental cleanup at Edison facility</t>
  </si>
  <si>
    <t xml:space="preserve">TF-PRIV-001363 – TF-PRIV-001370</t>
  </si>
  <si>
    <t xml:space="preserve">March 18, 2022</t>
  </si>
  <si>
    <t xml:space="preserve">Re: Research Memo — Voluntary Cleanup Programs and CERCLA Preemption</t>
  </si>
  <si>
    <t xml:space="preserve">Attorney work product research memorandum analyzing NJ voluntary cleanup program participation and CERCLA preemption issues in context of Edison facility remediation</t>
  </si>
  <si>
    <t xml:space="preserve">TF-PRIV-001371 – TF-PRIV-001375</t>
  </si>
  <si>
    <t xml:space="preserve">April 22, 2022</t>
  </si>
  <si>
    <t xml:space="preserve">Re: Case Update</t>
  </si>
  <si>
    <t xml:space="preserve">Legal communication</t>
  </si>
  <si>
    <t xml:space="preserve">CLM associate to Deputy GC: largely status of custodial collections, review volumes, budget authorization - logistical facts not generally privileged; some content (Graystone categorization question) seeks client instruction. Log date (4/22/2022) vs document (10/14/2022); description "Legal communication" insufficient.</t>
  </si>
  <si>
    <t xml:space="preserve">Maintain with fuller description or produce with redactions of legal-strategy content; correct date.</t>
  </si>
  <si>
    <t xml:space="preserve">TF-PRIV-001376 – TF-PRIV-001382</t>
  </si>
  <si>
    <t xml:space="preserve">April 25, 2022</t>
  </si>
  <si>
    <t xml:space="preserve">Re: Motion Practice Update — Pending Motions</t>
  </si>
  <si>
    <t xml:space="preserve">Communication from outside counsel to General Counsel providing status update on pending motions and legal analysis of expected rulings in Meridian litigation</t>
  </si>
  <si>
    <t xml:space="preserve">TF-PRIV-001383 – TF-PRIV-001415</t>
  </si>
  <si>
    <t xml:space="preserve">December 12, 2021</t>
  </si>
  <si>
    <t xml:space="preserve">Board of Directors (12 members)</t>
  </si>
  <si>
    <t xml:space="preserve">Board Presentation — Litigation Risk and Edison Plant Operations Review</t>
  </si>
  <si>
    <t xml:space="preserve">Presentation package</t>
  </si>
  <si>
    <t xml:space="preserve">Privileged communication from General Counsel to Board of Directors providing legal analysis of litigation risk and operational review of Edison Manufacturing Plant</t>
  </si>
  <si>
    <t xml:space="preserve">Board package combines (1) GC's privileged litigation-risk memo (TF-PRIV-001385-86) and (2) a routine operational &amp; financial review prepared by Choi and Haney (TF-PRIV-001387-1415) that states its EHS data "are not related to any pending legal matters." Business attachment is not privileged merely by being transmitted by GC. Log omits names of 12 directors and CC Kapadia.</t>
  </si>
  <si>
    <t xml:space="preserve">Produce Attachment 2 and cover email (redact reference to legal memo as needed); withhold Attachment 1; re-log as separate entries with director names.</t>
  </si>
  <si>
    <t xml:space="preserve">TF-PRIV-001416 – TF-PRIV-001422</t>
  </si>
  <si>
    <t xml:space="preserve">May 1, 2022</t>
  </si>
  <si>
    <t xml:space="preserve">Re: Research Memo — Prejudgment Interest in CERCLA Actions</t>
  </si>
  <si>
    <t xml:space="preserve">Attorney work product research memorandum analyzing prejudgment interest calculations and standards in CERCLA cost recovery and contribution actions</t>
  </si>
  <si>
    <t xml:space="preserve">TF-PRIV-001423 – TF-PRIV-001430</t>
  </si>
  <si>
    <t xml:space="preserve">May 5, 2022</t>
  </si>
  <si>
    <t xml:space="preserve">Re: Document Production — Privilege Clawback Issues</t>
  </si>
  <si>
    <t xml:space="preserve">Communication from General Counsel to outside counsel discussing privilege clawback issues relating to inadvertent production of potentially privileged documents</t>
  </si>
  <si>
    <t xml:space="preserve">TF-PRIV-001431 – TF-PRIV-001438</t>
  </si>
  <si>
    <t xml:space="preserve">May 8, 2022</t>
  </si>
  <si>
    <t xml:space="preserve">Re: Rule 30(b)(6) Deposition Strategy</t>
  </si>
  <si>
    <t xml:space="preserve">Communication from outside counsel to General Counsel discussing preparation strategy for Rule 30(b)(6) corporate deposition designee in Meridian litigation</t>
  </si>
  <si>
    <t xml:space="preserve">TF-PRIV-001439 – TF-PRIV-001445</t>
  </si>
  <si>
    <t xml:space="preserve">May 12, 2022</t>
  </si>
  <si>
    <t xml:space="preserve">Re: Legal Guidance — 30(b)(6) Topic Preparation</t>
  </si>
  <si>
    <t xml:space="preserve">Communication from Deputy General Counsel to Director of Operations providing legal guidance on preparation for corporate 30(b)(6) deposition topics in Meridian litigation</t>
  </si>
  <si>
    <t xml:space="preserve">TF-PRIV-001446 – TF-PRIV-001452</t>
  </si>
  <si>
    <t xml:space="preserve">May 15, 2022</t>
  </si>
  <si>
    <t xml:space="preserve">Re: 30(b)(6) Deposition Outline — Corporate Knowledge Topics</t>
  </si>
  <si>
    <t xml:space="preserve">Attorney work product deposition preparation outline for 30(b)(6) corporate designee reflecting attorney mental impressions regarding anticipated topic areas and defense strategy</t>
  </si>
  <si>
    <t xml:space="preserve">TF-PRIV-001453 – TF-PRIV-001460</t>
  </si>
  <si>
    <t xml:space="preserve">May 18, 2022</t>
  </si>
  <si>
    <t xml:space="preserve">Re: Joint Defense — 30(b)(6) Deposition Coordination</t>
  </si>
  <si>
    <t xml:space="preserve">Communication between co-defendants' counsel pursuant to common interest agreement coordinating 30(b)(6) corporate deposition preparation to ensure consistent positions</t>
  </si>
  <si>
    <t xml:space="preserve">TF-PRIV-001461 – TF-PRIV-001470</t>
  </si>
  <si>
    <t xml:space="preserve">Re: CERCLA Joint and Several Liability Research</t>
  </si>
  <si>
    <t xml:space="preserve">Communication between co-defendants' counsel pursuant to common interest agreement sharing legal research on CERCLA joint and several liability and contribution claim defenses</t>
  </si>
  <si>
    <t xml:space="preserve">Post-CIA JCI research sharing - defensible. Log omits cc Torano and Dunn. Note: email (3/5/2022) states Reese "has been formally designated as a testifying expert," but designation occurred 1/15/2024 - verify date/authenticity.</t>
  </si>
  <si>
    <t xml:space="preserve">Maintain; add cc; verify date.</t>
  </si>
  <si>
    <t xml:space="preserve">TF-PRIV-001471 – TF-PRIV-001478</t>
  </si>
  <si>
    <t xml:space="preserve">May 22, 2022</t>
  </si>
  <si>
    <t xml:space="preserve">Re: Post-Deposition Assessment — 30(b)(6) Corporate Designee</t>
  </si>
  <si>
    <t xml:space="preserve">Communication from General Counsel to outside counsel providing post-deposition assessment and analysis of 30(b)(6) corporate deposition testimony</t>
  </si>
  <si>
    <t xml:space="preserve">TF-PRIV-001479 – TF-PRIV-001485</t>
  </si>
  <si>
    <t xml:space="preserve">May 25, 2022</t>
  </si>
  <si>
    <t xml:space="preserve">Re: Research Memo — Allocation of Response Costs Among PRPs</t>
  </si>
  <si>
    <t xml:space="preserve">Attorney work product research memorandum analyzing allocation of response costs among potentially responsible parties under CERCLA and applicable equitable factors</t>
  </si>
  <si>
    <t xml:space="preserve">TF-PRIV-001486 – TF-PRIV-001492</t>
  </si>
  <si>
    <t xml:space="preserve">June 1, 2022</t>
  </si>
  <si>
    <t xml:space="preserve">Re: Mediation Brief — Draft</t>
  </si>
  <si>
    <t xml:space="preserve">Communication from outside counsel to General Counsel attaching draft mediation brief reflecting attorney mental impressions, settlement analysis, and litigation strategy</t>
  </si>
  <si>
    <t xml:space="preserve">TF-PRIV-001493 – TF-PRIV-001500</t>
  </si>
  <si>
    <t xml:space="preserve">June 5, 2022</t>
  </si>
  <si>
    <t xml:space="preserve">Re: Mediation Brief Comments and Settlement Authority</t>
  </si>
  <si>
    <t xml:space="preserve">Communication from General Counsel to outside counsel providing privileged comments on mediation brief and discussion of settlement authority parameters</t>
  </si>
  <si>
    <t xml:space="preserve">TF-PRIV-001501 – TF-PRIV-001505</t>
  </si>
  <si>
    <t xml:space="preserve">July 18, 2022</t>
  </si>
  <si>
    <t xml:space="preserve">Re: Discussion</t>
  </si>
  <si>
    <t xml:space="preserve">Confidential attorney communication</t>
  </si>
  <si>
    <t xml:space="preserve">GC request to outside counsel for advice on reserve adequacy and coverage - privileged. Log date (7/18/2022) vs document (4/18/2023); subject "Discussion" insufficient. Signature block (SVP &amp; GC, "One Thornfield Plaza, Newark") inconsistent with all other Langford documents - verify authenticity/metadata.</t>
  </si>
  <si>
    <t xml:space="preserve">Maintain; correct date/subject/description; verify document.</t>
  </si>
  <si>
    <t xml:space="preserve">TF-PRIV-001506 – TF-PRIV-001512</t>
  </si>
  <si>
    <t xml:space="preserve">June 10, 2022</t>
  </si>
  <si>
    <t xml:space="preserve">Re: Joint Defense — Mediation Strategy Coordination</t>
  </si>
  <si>
    <t xml:space="preserve">Communication between co-defendants' counsel pursuant to common interest agreement coordinating mediation strategy and joint settlement position for Meridian litigation</t>
  </si>
  <si>
    <t xml:space="preserve">TF-PRIV-001513 – TF-PRIV-001520</t>
  </si>
  <si>
    <t xml:space="preserve">June 15, 2022</t>
  </si>
  <si>
    <t xml:space="preserve">Re: Research Memo — Settlement Contribution Protection Under CERCLA 113</t>
  </si>
  <si>
    <t xml:space="preserve">Attorney work product research memorandum analyzing contribution protection provisions under CERCLA Section 113(f)(2) and strategic considerations for settlement negotiations</t>
  </si>
  <si>
    <t xml:space="preserve">TF-PRIV-001521 – TF-PRIV-001528</t>
  </si>
  <si>
    <t xml:space="preserve">June 18, 2022</t>
  </si>
  <si>
    <t xml:space="preserve">Re: Mediation Outcome Report</t>
  </si>
  <si>
    <t xml:space="preserve">Memorandum from General Counsel to CEO providing privileged report on mediation outcome and strategic recommendations for next steps in Meridian environmental litigation</t>
  </si>
  <si>
    <t xml:space="preserve">TF-PRIV-001529 – TF-PRIV-001535</t>
  </si>
  <si>
    <t xml:space="preserve">June 22, 2022</t>
  </si>
  <si>
    <t xml:space="preserve">Re: Post-Mediation Strategy Assessment</t>
  </si>
  <si>
    <t xml:space="preserve">Communication from outside counsel to General Counsel providing post-mediation strategy assessment and recommended next steps for Meridian environmental litigation</t>
  </si>
  <si>
    <t xml:space="preserve">TF-PRIV-001536 – TF-PRIV-001542</t>
  </si>
  <si>
    <t xml:space="preserve">June 25, 2022</t>
  </si>
  <si>
    <t xml:space="preserve">Re: Legal Analysis — Ongoing Remediation Reporting Obligations</t>
  </si>
  <si>
    <t xml:space="preserve">Communication from Deputy General Counsel to VP of EHS providing legal analysis of ongoing remediation reporting obligations to NJDEP during active litigation</t>
  </si>
  <si>
    <t xml:space="preserve">TF-PRIV-001543 – TF-PRIV-001550</t>
  </si>
  <si>
    <t xml:space="preserve">June 28, 2022</t>
  </si>
  <si>
    <t xml:space="preserve">Re: Trial Preparation — Preliminary Timeline</t>
  </si>
  <si>
    <t xml:space="preserve">Communication from outside counsel to General Counsel discussing preliminary trial preparation timeline and strategic considerations for Meridian environmental litigation</t>
  </si>
  <si>
    <t xml:space="preserve">TF-PRIV-001551 – TF-PRIV-001558</t>
  </si>
  <si>
    <t xml:space="preserve">July 1, 2022</t>
  </si>
  <si>
    <t xml:space="preserve">Re: Research Memo — Trial Presentation of Environmental Evidence</t>
  </si>
  <si>
    <t xml:space="preserve">Attorney work product research memorandum analyzing standards for trial presentation of environmental sampling evidence and expert testimony in CERCLA actions</t>
  </si>
  <si>
    <t xml:space="preserve">TF-PRIV-001559 – TF-PRIV-001565</t>
  </si>
  <si>
    <t xml:space="preserve">July 5, 2022</t>
  </si>
  <si>
    <t xml:space="preserve">Re: Trial Witness List — Preliminary Draft</t>
  </si>
  <si>
    <t xml:space="preserve">Communication from General Counsel to outside counsel providing preliminary trial witness list and assessment of available testimony for defense case</t>
  </si>
  <si>
    <t xml:space="preserve">TF-PRIV-001566 – TF-PRIV-001572</t>
  </si>
  <si>
    <t xml:space="preserve">July 7, 2022</t>
  </si>
  <si>
    <t xml:space="preserve">Re: Capital Expenditure Approval — Groundwater Treatment System</t>
  </si>
  <si>
    <t xml:space="preserve">Discussion regarding capital expenditure approval process for groundwater treatment infrastructure</t>
  </si>
  <si>
    <t xml:space="preserve">Pruitt to CFO requesting capex approval through standard process. No attorney; business.</t>
  </si>
  <si>
    <t xml:space="preserve">TF-PRIV-001573 – TF-PRIV-001585</t>
  </si>
  <si>
    <t xml:space="preserve">March 22, 2022</t>
  </si>
  <si>
    <t xml:space="preserve">Expert Analysis — Contamination Migration Patterns at Edison Facility</t>
  </si>
  <si>
    <t xml:space="preserve">Expert report</t>
  </si>
  <si>
    <t xml:space="preserve">Expert analysis of contamination migration patterns prepared at direction of counsel in anticipation of litigation — attorney work product reflecting litigation strategy and expert mental impressions</t>
  </si>
  <si>
    <t xml:space="preserve">Report prepared at CLM direction (WP when created), but Reese was designated a testifying expert (1/15/2024) and the disclosures list this 3/22/2022 report as a material considered. Facts/data and materials considered by a testifying expert are discoverable under Rule 26(a)(2)(B)(ii); WP cannot be maintained. Report also relies on routine Graystone audit data.</t>
  </si>
  <si>
    <t xml:space="preserve">Withdraw WP; produce. Continue to protect drafts (Rule 26(b)(4)(B)) and attorney-expert communications (26(b)(4)(C)) except compensation, facts/data and assumptions provided by counsel.</t>
  </si>
  <si>
    <t xml:space="preserve">TF-PRIV-001586 – TF-PRIV-001592</t>
  </si>
  <si>
    <t xml:space="preserve">July 12, 2022</t>
  </si>
  <si>
    <t xml:space="preserve">Re: Summary Judgment Opposition — Strategy</t>
  </si>
  <si>
    <t xml:space="preserve">Communication from outside counsel to General Counsel discussing strategy for opposing plaintiff's anticipated summary judgment motion in Meridian litigation</t>
  </si>
  <si>
    <t xml:space="preserve">TF-PRIV-001593 – TF-PRIV-001598</t>
  </si>
  <si>
    <t xml:space="preserve">August 30, 2022</t>
  </si>
  <si>
    <t xml:space="preserve">Re: Update</t>
  </si>
  <si>
    <t xml:space="preserve">Privileged communication re: legal matter</t>
  </si>
  <si>
    <t xml:space="preserve">Outside counsel to GC re cross-claim strategy - privileged. Log date (8/30/2022) vs document (10/18/2022); subject "Update" and description "Privileged communication re: legal matter" insufficient.</t>
  </si>
  <si>
    <t xml:space="preserve">TF-PRIV-001599 – TF-PRIV-001605</t>
  </si>
  <si>
    <t xml:space="preserve">Re: Research Memo — Government Oversight Costs in CERCLA Recovery</t>
  </si>
  <si>
    <t xml:space="preserve">Attorney work product research memorandum analyzing recoverability of government oversight costs under CERCLA and standards for reasonableness of response costs</t>
  </si>
  <si>
    <t xml:space="preserve">TF-PRIV-001606 – TF-PRIV-001612</t>
  </si>
  <si>
    <t xml:space="preserve">September 12, 2022</t>
  </si>
  <si>
    <t xml:space="preserve">Re: State Regulator Meeting Debrief</t>
  </si>
  <si>
    <t xml:space="preserve">Communication with counsel re: regulatory strategy and state regulator meeting update</t>
  </si>
  <si>
    <t xml:space="preserve">Molina (non-attorney) to GC reporting on a meeting with the adversary (NJDEP) at which she was the only Thornfield attendee; factual debrief, no request for legal advice; information conveyed to/from opposing party is not confidential.</t>
  </si>
  <si>
    <t xml:space="preserve">Withdraw; produce (redact only if a discrete legal request is identified - none found).</t>
  </si>
  <si>
    <t xml:space="preserve">TF-PRIV-001613 – TF-PRIV-001620</t>
  </si>
  <si>
    <t xml:space="preserve">July 25, 2022</t>
  </si>
  <si>
    <t xml:space="preserve">Re: Joint Defense — Summary Judgment Coordination</t>
  </si>
  <si>
    <t xml:space="preserve">Communication between co-defendants' counsel pursuant to common interest agreement coordinating summary judgment briefing strategy to avoid inconsistent positions</t>
  </si>
  <si>
    <t xml:space="preserve">TF-PRIV-001621 – TF-PRIV-001628</t>
  </si>
  <si>
    <t xml:space="preserve">August 1, 2022</t>
  </si>
  <si>
    <t xml:space="preserve">Re: Expert Deposition Preparation — Dr. Reese</t>
  </si>
  <si>
    <t xml:space="preserve">Communication from outside counsel to General Counsel discussing preparation strategy for Dr. Reese's expert deposition testimony in Meridian litigation</t>
  </si>
  <si>
    <t xml:space="preserve">TF-PRIV-001629 – TF-PRIV-001636</t>
  </si>
  <si>
    <t xml:space="preserve">August 5, 2022</t>
  </si>
  <si>
    <t xml:space="preserve">Re: Expert Deposition Outline — Dr. Reese</t>
  </si>
  <si>
    <t xml:space="preserve">Attorney work product deposition preparation outline for Dr. Reese expert testimony reflecting attorney mental impressions regarding anticipated cross-examination and defense strategy</t>
  </si>
  <si>
    <t xml:space="preserve">TF-PRIV-001637 – TF-PRIV-001644</t>
  </si>
  <si>
    <t xml:space="preserve">August 10, 2022</t>
  </si>
  <si>
    <t xml:space="preserve">Re: Post-Expert Deposition Assessment — Dr. Reese</t>
  </si>
  <si>
    <t xml:space="preserve">Communication from General Counsel to outside counsel providing post-deposition assessment of Dr. Reese expert testimony and implications for trial strategy</t>
  </si>
  <si>
    <t xml:space="preserve">TF-PRIV-001645 – TF-PRIV-001652</t>
  </si>
  <si>
    <t xml:space="preserve">August 15, 2022</t>
  </si>
  <si>
    <t xml:space="preserve">Re: Updated Case Assessment — Post-Expert Discovery</t>
  </si>
  <si>
    <t xml:space="preserve">Outside counsel's updated case assessment memorandum analyzing case strength following completion of expert discovery, reflecting attorney mental impressions and settlement analysis</t>
  </si>
  <si>
    <t xml:space="preserve">TF-PRIV-001653 – TF-PRIV-001660</t>
  </si>
  <si>
    <t xml:space="preserve">August 20, 2022</t>
  </si>
  <si>
    <t xml:space="preserve">Re: Mid-Year 2022 Litigation Update</t>
  </si>
  <si>
    <t xml:space="preserve">Memorandum from General Counsel to CEO providing mid-year privileged legal update on Meridian environmental litigation and updated risk assessment</t>
  </si>
  <si>
    <t xml:space="preserve">TF-PRIV-001661 – TF-PRIV-001668</t>
  </si>
  <si>
    <t xml:space="preserve">January 7, 2023</t>
  </si>
  <si>
    <t xml:space="preserve">Keith Brannigan</t>
  </si>
  <si>
    <t xml:space="preserve">Re: Interview — Edison Plant Operations 2017–2019</t>
  </si>
  <si>
    <t xml:space="preserve">Interview of company witness by outside counsel re: litigation — discussion of plant operations and environmental practices during relevant time period</t>
  </si>
  <si>
    <t xml:space="preserve">Outside counsel's interview questions to Keith Brannigan, a former employee (terminated 11/30/2022, no continuing relationship), at a personal email. ACP extension to former employees under Upjohn is unsettled; log describes him as a "company witness." Questions reflect counsel's mental impressions, so WP is the stronger basis. Log omits cc Torano.</t>
  </si>
  <si>
    <t xml:space="preserve">Re-designate as WP (and ACP in the alternative); correct description to "former employee"; add cc. Any Brannigan responses likely not ACP-protected.</t>
  </si>
  <si>
    <t xml:space="preserve">TF-PRIV-001669 – TF-PRIV-001675</t>
  </si>
  <si>
    <t xml:space="preserve">September 1, 2022</t>
  </si>
  <si>
    <t xml:space="preserve">Re: Research Memo — Apportionment of Harm in Multi-Party CERCLA Cases</t>
  </si>
  <si>
    <t xml:space="preserve">Attorney work product research memorandum analyzing apportionment of harm standards in multi-party CERCLA cost recovery cases and Burlington Northern implications</t>
  </si>
  <si>
    <t xml:space="preserve">TF-PRIV-001676 – TF-PRIV-001682</t>
  </si>
  <si>
    <t xml:space="preserve">September 5, 2022</t>
  </si>
  <si>
    <t xml:space="preserve">Re: Legal Guidance — Remedial Action Implementation</t>
  </si>
  <si>
    <t xml:space="preserve">Communication from Deputy General Counsel to VP of EHS providing legal guidance on remedial action implementation at Edison facility and regulatory compliance requirements</t>
  </si>
  <si>
    <t xml:space="preserve">TF-PRIV-001683 – TF-PRIV-001690</t>
  </si>
  <si>
    <t xml:space="preserve">September 8, 2022</t>
  </si>
  <si>
    <t xml:space="preserve">Re: Pretrial Conference Preparation</t>
  </si>
  <si>
    <t xml:space="preserve">Communication from outside counsel to General Counsel discussing preparation for pretrial conference and strategic positions on outstanding case management issues</t>
  </si>
  <si>
    <t xml:space="preserve">TF-PRIV-001691 – TF-PRIV-001698</t>
  </si>
  <si>
    <t xml:space="preserve">Re: Joint Defense — Pretrial Conference Coordination</t>
  </si>
  <si>
    <t xml:space="preserve">Communication between co-defendants' counsel pursuant to common interest agreement coordinating positions for upcoming pretrial conference in Meridian litigation</t>
  </si>
  <si>
    <t xml:space="preserve">TF-PRIV-001699 – TF-PRIV-001706</t>
  </si>
  <si>
    <t xml:space="preserve">September 15, 2022</t>
  </si>
  <si>
    <t xml:space="preserve">Re: Research Memo — Motions in Limine Standards for Environmental Evidence</t>
  </si>
  <si>
    <t xml:space="preserve">Attorney work product research memorandum analyzing standards for motions in limine to exclude unreliable environmental sampling evidence in CERCLA bench trial</t>
  </si>
  <si>
    <t xml:space="preserve">TF-PRIV-001707 – TF-PRIV-001714</t>
  </si>
  <si>
    <t xml:space="preserve">September 18, 2022</t>
  </si>
  <si>
    <t xml:space="preserve">Re: Trial Exhibit Review — Privilege Concerns</t>
  </si>
  <si>
    <t xml:space="preserve">Communication from General Counsel to outside counsel discussing privilege concerns regarding potential trial exhibits and strategies for protecting confidential communications</t>
  </si>
  <si>
    <t xml:space="preserve">TF-PRIV-001715 – TF-PRIV-001722</t>
  </si>
  <si>
    <t xml:space="preserve">September 22, 2022</t>
  </si>
  <si>
    <t xml:space="preserve">Re: Motions in Limine — Draft Package</t>
  </si>
  <si>
    <t xml:space="preserve">Attorney work product draft motions in limine package reflecting attorney mental impressions and strategic analysis of evidentiary issues for trial in Meridian litigation</t>
  </si>
  <si>
    <t xml:space="preserve">TF-PRIV-001723 – TF-PRIV-001730</t>
  </si>
  <si>
    <t xml:space="preserve">September 25, 2022</t>
  </si>
  <si>
    <t xml:space="preserve">Re: Comments on Motions in Limine Drafts</t>
  </si>
  <si>
    <t xml:space="preserve">Communication from General Counsel to outside counsel providing privileged comments and legal analysis on draft motions in limine for Meridian trial</t>
  </si>
  <si>
    <t xml:space="preserve">TF-PRIV-001731 – TF-PRIV-001738</t>
  </si>
  <si>
    <t xml:space="preserve">October 1, 2022</t>
  </si>
  <si>
    <t xml:space="preserve">Re: Research Memo — Burden Shifting in CERCLA Contribution Claims</t>
  </si>
  <si>
    <t xml:space="preserve">Attorney work product research memorandum analyzing burden shifting framework in CERCLA Section 113(f) contribution claims and equitable allocation standards</t>
  </si>
  <si>
    <t xml:space="preserve">TF-PRIV-001739 – TF-PRIV-001745</t>
  </si>
  <si>
    <t xml:space="preserve">October 5, 2022</t>
  </si>
  <si>
    <t xml:space="preserve">Re: Trial Preparation Calendar — Key Deadlines</t>
  </si>
  <si>
    <t xml:space="preserve">Communication from outside counsel to General Counsel discussing trial preparation calendar, key deadlines, and resource allocation for Meridian trial</t>
  </si>
  <si>
    <t xml:space="preserve">TF-PRIV-001746 – TF-PRIV-001752</t>
  </si>
  <si>
    <t xml:space="preserve">March 32, 2023</t>
  </si>
  <si>
    <t xml:space="preserve">Re: Deposition Preparation — Expert Witnesses</t>
  </si>
  <si>
    <t xml:space="preserve">Attorney work product memorandum analyzing deposition strategy for expert witness testimony</t>
  </si>
  <si>
    <t xml:space="preserve">Invalid date "March 32, 2023." Otherwise plausible internal CLM work product.</t>
  </si>
  <si>
    <t xml:space="preserve">Correct date from metadata.</t>
  </si>
  <si>
    <t xml:space="preserve">TF-PRIV-001753 – TF-PRIV-001760</t>
  </si>
  <si>
    <t xml:space="preserve">February 30, 2022</t>
  </si>
  <si>
    <t xml:space="preserve">Re: Document Review Summary</t>
  </si>
  <si>
    <t xml:space="preserve">Attorney work product summarizing document review findings and litigation analysis</t>
  </si>
  <si>
    <t xml:space="preserve">Invalid date "February 30, 2022." Otherwise plausible internal CLM work product.</t>
  </si>
  <si>
    <t xml:space="preserve">TF-PRIV-001761 – TF-PRIV-001768</t>
  </si>
  <si>
    <t xml:space="preserve">October 12, 2022</t>
  </si>
  <si>
    <t xml:space="preserve">Re: Trial Theme Development — Defense Narrative</t>
  </si>
  <si>
    <t xml:space="preserve">Outside counsel's memorandum analyzing potential trial themes and defense narrative strategy, reflecting attorney mental impressions and case evaluation</t>
  </si>
  <si>
    <t xml:space="preserve">TF-PRIV-001769 – TF-PRIV-001775</t>
  </si>
  <si>
    <t xml:space="preserve">October 15, 2022</t>
  </si>
  <si>
    <t xml:space="preserve">Re: Trial Theme Comments — Client Perspective</t>
  </si>
  <si>
    <t xml:space="preserve">Communication from General Counsel to outside counsel providing privileged comments on trial theme development from client perspective</t>
  </si>
  <si>
    <t xml:space="preserve">TF-PRIV-001776 – TF-PRIV-001782</t>
  </si>
  <si>
    <t xml:space="preserve">October 18, 2022</t>
  </si>
  <si>
    <t xml:space="preserve">Re: Joint Defense — Trial Strategy Coordination</t>
  </si>
  <si>
    <t xml:space="preserve">Communication between co-defendants' counsel pursuant to common interest agreement coordinating trial strategy and avoiding inconsistent defense positions</t>
  </si>
  <si>
    <t xml:space="preserve">TF-PRIV-001783 – TF-PRIV-001790</t>
  </si>
  <si>
    <t xml:space="preserve">October 22, 2022</t>
  </si>
  <si>
    <t xml:space="preserve">Re: Draft Proposed Findings of Fact and Conclusions of Law</t>
  </si>
  <si>
    <t xml:space="preserve">Attorney work product draft proposed findings of fact and conclusions of law for CERCLA bench trial reflecting attorney mental impressions and legal analysis</t>
  </si>
  <si>
    <t xml:space="preserve">TF-PRIV-001791 – TF-PRIV-001798</t>
  </si>
  <si>
    <t xml:space="preserve">October 25, 2022</t>
  </si>
  <si>
    <t xml:space="preserve">Re: Q3 2022 Litigation Status Report — Trial Preparation</t>
  </si>
  <si>
    <t xml:space="preserve">Memorandum from General Counsel to CEO providing quarterly privileged legal update on trial preparation status and strategic assessment for Meridian environmental litigation</t>
  </si>
  <si>
    <t xml:space="preserve">TF-PRIV-001799 – TF-PRIV-001805</t>
  </si>
  <si>
    <t xml:space="preserve">October 28, 2022</t>
  </si>
  <si>
    <t xml:space="preserve">Re: Legal Advice — Trial Testimony Preparation</t>
  </si>
  <si>
    <t xml:space="preserve">Communication from Deputy General Counsel to VP of EHS providing legal advice regarding trial testimony preparation and witness obligations</t>
  </si>
  <si>
    <t xml:space="preserve">TF-PRIV-001806 – TF-PRIV-001812</t>
  </si>
  <si>
    <t xml:space="preserve">November 1, 2022</t>
  </si>
  <si>
    <t xml:space="preserve">Re: Settlement Discussion Update — Plaintiff's Counter</t>
  </si>
  <si>
    <t xml:space="preserve">Communication from outside counsel to General Counsel providing update on settlement discussions and analysis of plaintiff's counteroffer in Meridian litigation</t>
  </si>
  <si>
    <t xml:space="preserve">TF-PRIV-001813 – TF-PRIV-001820</t>
  </si>
  <si>
    <t xml:space="preserve">November 5, 2022</t>
  </si>
  <si>
    <t xml:space="preserve">Re: Settlement Authority — Board Update</t>
  </si>
  <si>
    <t xml:space="preserve">Communication from General Counsel to outside counsel discussing updated settlement authority following board consultation for Meridian environmental litigation</t>
  </si>
  <si>
    <t xml:space="preserve">TF-PRIV-001821 – TF-PRIV-001828</t>
  </si>
  <si>
    <t xml:space="preserve">November 8, 2022</t>
  </si>
  <si>
    <t xml:space="preserve">Re: Joint Defense — Settlement Coordination Update</t>
  </si>
  <si>
    <t xml:space="preserve">Communication between co-defendants' counsel pursuant to common interest agreement coordinating settlement positions and joint strategy for Meridian litigation</t>
  </si>
  <si>
    <t xml:space="preserve">TF-PRIV-001829 – TF-PRIV-001835</t>
  </si>
  <si>
    <t xml:space="preserve">November 10, 2022</t>
  </si>
  <si>
    <t xml:space="preserve">Re: Research Memo — Consent Decree Provisions in CERCLA Settlements</t>
  </si>
  <si>
    <t xml:space="preserve">Attorney work product research memorandum analyzing typical consent decree provisions in CERCLA settlements and strategic considerations for negotiation</t>
  </si>
  <si>
    <t xml:space="preserve">TF-PRIV-001836 – TF-PRIV-001842</t>
  </si>
  <si>
    <t xml:space="preserve">November 15, 2022</t>
  </si>
  <si>
    <t xml:space="preserve">Re: Legal Advice — Continued Remediation During Settlement Talks</t>
  </si>
  <si>
    <t xml:space="preserve">Communication from General Counsel to VP of EHS providing legal advice regarding continued remediation activities during ongoing settlement negotiations</t>
  </si>
  <si>
    <t xml:space="preserve">TF-PRIV-001843 – TF-PRIV-001850</t>
  </si>
  <si>
    <t xml:space="preserve">November 18, 2022</t>
  </si>
  <si>
    <t xml:space="preserve">Re: Trial Continuance Strategy</t>
  </si>
  <si>
    <t xml:space="preserve">Communication from outside counsel to General Counsel discussing strategy for potential trial continuance request and implications for settlement timeline</t>
  </si>
  <si>
    <t xml:space="preserve">TF-PRIV-001851 – TF-PRIV-001858</t>
  </si>
  <si>
    <t xml:space="preserve">November 22, 2022</t>
  </si>
  <si>
    <t xml:space="preserve">Re: Research Memo — Reopener Provisions in Environmental Settlements</t>
  </si>
  <si>
    <t xml:space="preserve">Attorney work product research memorandum analyzing reopener provision standards in CERCLA settlements and risk allocation considerations</t>
  </si>
  <si>
    <t xml:space="preserve">TF-PRIV-001859 – TF-PRIV-001866</t>
  </si>
  <si>
    <t xml:space="preserve">November 28, 2022</t>
  </si>
  <si>
    <t xml:space="preserve">Re: Settlement Negotiations Update — Confidential</t>
  </si>
  <si>
    <t xml:space="preserve">Memorandum from General Counsel to CEO providing privileged update on settlement negotiations and recommended negotiation strategy for Meridian environmental litigation</t>
  </si>
  <si>
    <t xml:space="preserve">TF-PRIV-001867 – TF-PRIV-001874</t>
  </si>
  <si>
    <t xml:space="preserve">December 1, 2022</t>
  </si>
  <si>
    <t xml:space="preserve">Re: Year-End Strategy Session — Agenda and Materials</t>
  </si>
  <si>
    <t xml:space="preserve">Communication from outside counsel to General Counsel providing materials for year-end strategy session including privileged case assessment and litigation budget for 2023</t>
  </si>
  <si>
    <t xml:space="preserve">TF-PRIV-001875 – TF-PRIV-001882</t>
  </si>
  <si>
    <t xml:space="preserve">December 5, 2022</t>
  </si>
  <si>
    <t xml:space="preserve">Re: Research Memo — Insurance Coverage Litigation Trends</t>
  </si>
  <si>
    <t xml:space="preserve">Attorney work product research memorandum analyzing insurance coverage litigation trends in CERCLA cases and strategic implications for Thornfield's coverage claims</t>
  </si>
  <si>
    <t xml:space="preserve">TF-PRIV-001883 – TF-PRIV-001890</t>
  </si>
  <si>
    <t xml:space="preserve">December 8, 2022</t>
  </si>
  <si>
    <t xml:space="preserve">Re: Legal Analysis — Environmental Liability Disclosure Requirements</t>
  </si>
  <si>
    <t xml:space="preserve">Communication from Deputy General Counsel to CFO providing legal analysis of environmental liability disclosure requirements under SEC regulations and accounting standards</t>
  </si>
  <si>
    <t xml:space="preserve">TF-PRIV-001891 – TF-PRIV-001898</t>
  </si>
  <si>
    <t xml:space="preserve">December 12, 2022</t>
  </si>
  <si>
    <t xml:space="preserve">Re: Joint Defense — Year-End Coordination</t>
  </si>
  <si>
    <t xml:space="preserve">Communication between co-defendants' counsel pursuant to common interest agreement coordinating year-end strategic positions and 2023 defense planning</t>
  </si>
  <si>
    <t xml:space="preserve">TF-PRIV-001899 – TF-PRIV-001905</t>
  </si>
  <si>
    <t xml:space="preserve">December 15, 2022</t>
  </si>
  <si>
    <t xml:space="preserve">Re: Year-End 2022 Litigation Report</t>
  </si>
  <si>
    <t xml:space="preserve">Memorandum from General Counsel to CEO providing year-end privileged legal update on Meridian environmental litigation status, settlement prospects, and 2023 strategic outlook</t>
  </si>
  <si>
    <t xml:space="preserve">TF-PRIV-001906 – TF-PRIV-001912</t>
  </si>
  <si>
    <t xml:space="preserve">January 5, 2023</t>
  </si>
  <si>
    <t xml:space="preserve">Re: 2023 Litigation Strategy and Budget</t>
  </si>
  <si>
    <t xml:space="preserve">Communication from outside counsel to General Counsel providing 2023 litigation strategy update and revised budget analysis for Meridian environmental defense</t>
  </si>
  <si>
    <t xml:space="preserve">TF-PRIV-001913 – TF-PRIV-001920</t>
  </si>
  <si>
    <t xml:space="preserve">January 10, 2023</t>
  </si>
  <si>
    <t xml:space="preserve">Re: Discovery Supplementation — New Documents Identified</t>
  </si>
  <si>
    <t xml:space="preserve">Communication from General Counsel to outside counsel discussing discovery supplementation obligations and newly identified responsive documents</t>
  </si>
  <si>
    <t xml:space="preserve">TF-PRIV-001921 – TF-PRIV-001928</t>
  </si>
  <si>
    <t xml:space="preserve">January 15, 2023</t>
  </si>
  <si>
    <t xml:space="preserve">Re: Research Memo — Emerging PFAS Liability Theories</t>
  </si>
  <si>
    <t xml:space="preserve">Attorney work product research memorandum analyzing emerging PFAS liability theories and potential impact on Meridian litigation damages claims</t>
  </si>
  <si>
    <t xml:space="preserve">TF-PRIV-001929 – TF-PRIV-001933</t>
  </si>
  <si>
    <t xml:space="preserve">August 14, 2023</t>
  </si>
  <si>
    <t xml:space="preserve">Re: Status</t>
  </si>
  <si>
    <t xml:space="preserve">Attorney-client privileged</t>
  </si>
  <si>
    <t xml:space="preserve">Deputy GC to outside counsel re allocation strategy - privileged. Log date (8/14/2023) vs document (11/17/2023); subject "Status" and description "Attorney-client privileged" insufficient.</t>
  </si>
  <si>
    <t xml:space="preserve">TF-PRIV-001934 – TF-PRIV-001940</t>
  </si>
  <si>
    <t xml:space="preserve">January 22, 2023</t>
  </si>
  <si>
    <t xml:space="preserve">Re: Supplemental Expert Report — Dr. Reese</t>
  </si>
  <si>
    <t xml:space="preserve">Communication from outside counsel to General Counsel discussing supplemental expert report preparation and analysis of additional contamination data for Dr. Reese opinions</t>
  </si>
  <si>
    <t xml:space="preserve">Supplemental expert report of testifying expert Reese. Drafts and counsel comments protected under 26(b)(4)(B)-(C), but any final report served/relied upon and facts/data considered must be produced.</t>
  </si>
  <si>
    <t xml:space="preserve">Confirm whether attachment is draft or final; produce final/considered materials.</t>
  </si>
  <si>
    <t xml:space="preserve">TF-PRIV-001941 – TF-PRIV-001948</t>
  </si>
  <si>
    <t xml:space="preserve">January 28, 2023</t>
  </si>
  <si>
    <t xml:space="preserve">Re: Joint Defense — Supplemental Discovery Coordination</t>
  </si>
  <si>
    <t xml:space="preserve">Communication between co-defendants' counsel pursuant to common interest agreement coordinating supplemental discovery responses and production strategy</t>
  </si>
  <si>
    <t xml:space="preserve">TF-PRIV-001949 – TF-PRIV-001955</t>
  </si>
  <si>
    <t xml:space="preserve">February 1, 2023</t>
  </si>
  <si>
    <t xml:space="preserve">Re: Legal Guidance — Remediation Progress Reporting to NJDEP</t>
  </si>
  <si>
    <t xml:space="preserve">Communication from Deputy General Counsel to Director of Operations providing legal guidance on remediation progress reporting obligations to NJDEP during pending litigation</t>
  </si>
  <si>
    <t xml:space="preserve">TF-PRIV-001956 – TF-PRIV-001962</t>
  </si>
  <si>
    <t xml:space="preserve">February 5, 2023</t>
  </si>
  <si>
    <t xml:space="preserve">Re: Research Memo — Institutional Controls in CERCLA Remedies</t>
  </si>
  <si>
    <t xml:space="preserve">Attorney work product research memorandum analyzing institutional control requirements in CERCLA remedial actions and deed restriction implications for Edison facility</t>
  </si>
  <si>
    <t xml:space="preserve">TF-PRIV-001963 – TF-PRIV-001970</t>
  </si>
  <si>
    <t xml:space="preserve">February 10, 2023</t>
  </si>
  <si>
    <t xml:space="preserve">Re: Motion Practice — Pending Daubert Challenge</t>
  </si>
  <si>
    <t xml:space="preserve">Communication from outside counsel to General Counsel providing status update and legal analysis regarding pending Daubert challenge to plaintiff's contamination source expert</t>
  </si>
  <si>
    <t xml:space="preserve">TF-PRIV-001971 – TF-PRIV-001978</t>
  </si>
  <si>
    <t xml:space="preserve">February 15, 2023</t>
  </si>
  <si>
    <t xml:space="preserve">Re: Draft Opposition to Plaintiff's Summary Judgment Motion</t>
  </si>
  <si>
    <t xml:space="preserve">Attorney work product draft opposition brief to plaintiff's partial summary judgment motion reflecting attorney mental impressions and legal analysis of liability defenses</t>
  </si>
  <si>
    <t xml:space="preserve">TF-PRIV-001979 – TF-PRIV-001985</t>
  </si>
  <si>
    <t xml:space="preserve">February 18, 2023</t>
  </si>
  <si>
    <t xml:space="preserve">Re: Comments on Summary Judgment Opposition Draft</t>
  </si>
  <si>
    <t xml:space="preserve">Communication from General Counsel to outside counsel providing privileged comments and factual clarifications on draft opposition to plaintiff's summary judgment motion</t>
  </si>
  <si>
    <t xml:space="preserve">TF-PRIV-001986 – TF-PRIV-001992</t>
  </si>
  <si>
    <t xml:space="preserve">February 22, 2023</t>
  </si>
  <si>
    <t xml:space="preserve">Re: Summary Judgment Ruling Analysis</t>
  </si>
  <si>
    <t xml:space="preserve">Communication from outside counsel to General Counsel providing analysis of court's ruling on summary judgment motions and implications for remaining claims</t>
  </si>
  <si>
    <t xml:space="preserve">TF-PRIV-001993 – TF-PRIV-002000</t>
  </si>
  <si>
    <t xml:space="preserve">March 1, 2023</t>
  </si>
  <si>
    <t xml:space="preserve">Re: Q1 2023 Litigation Update — Summary Judgment Ruling</t>
  </si>
  <si>
    <t xml:space="preserve">Memorandum from General Counsel to CEO providing privileged legal update on summary judgment ruling and impact on litigation strategy and settlement posture</t>
  </si>
  <si>
    <t xml:space="preserve">TF-PRIV-002001 – TF-PRIV-002008</t>
  </si>
  <si>
    <t xml:space="preserve">March 5, 2023</t>
  </si>
  <si>
    <t xml:space="preserve">Re: Joint Defense — Post-Summary Judgment Strategy</t>
  </si>
  <si>
    <t xml:space="preserve">Communication between co-defendants' counsel pursuant to common interest agreement discussing revised defense strategy following summary judgment rulings</t>
  </si>
  <si>
    <t xml:space="preserve">TF-PRIV-002009 – TF-PRIV-002015</t>
  </si>
  <si>
    <t xml:space="preserve">March 8, 2023</t>
  </si>
  <si>
    <t xml:space="preserve">Re: Research Memo — Interlocutory Appeal Standards</t>
  </si>
  <si>
    <t xml:space="preserve">Attorney work product research memorandum analyzing standards for interlocutory appeal under 28 U.S.C. § 1292(b) and strategic considerations for Meridian litigation</t>
  </si>
  <si>
    <t xml:space="preserve">TF-PRIV-002016 – TF-PRIV-002022</t>
  </si>
  <si>
    <t xml:space="preserve">March 12, 2023</t>
  </si>
  <si>
    <t xml:space="preserve">Re: Legal Analysis — Updated NJDEP Technical Requirements</t>
  </si>
  <si>
    <t xml:space="preserve">Communication from Deputy General Counsel to VP of EHS providing legal analysis of updated NJDEP technical requirements for groundwater remediation at Edison facility</t>
  </si>
  <si>
    <t xml:space="preserve">TF-PRIV-002023 – TF-PRIV-002030</t>
  </si>
  <si>
    <t xml:space="preserve">March 15, 2023</t>
  </si>
  <si>
    <t xml:space="preserve">Re: Settlement Demand — Updated Analysis</t>
  </si>
  <si>
    <t xml:space="preserve">Outside counsel's memorandum providing updated settlement demand analysis and risk assessment following summary judgment rulings, reflecting attorney mental impressions</t>
  </si>
  <si>
    <t xml:space="preserve">TF-PRIV-002031 – TF-PRIV-002038</t>
  </si>
  <si>
    <t xml:space="preserve">March 18, 2023</t>
  </si>
  <si>
    <t xml:space="preserve">Re: Settlement Authority — Updated Board Guidance</t>
  </si>
  <si>
    <t xml:space="preserve">Communication from General Counsel to outside counsel discussing updated settlement authority following board consultation in light of summary judgment rulings</t>
  </si>
  <si>
    <t xml:space="preserve">TF-PRIV-002039 – TF-PRIV-002045</t>
  </si>
  <si>
    <t xml:space="preserve">March 22, 2023</t>
  </si>
  <si>
    <t xml:space="preserve">Re: Research Memo — CERCLA Cost Recovery vs. Contribution Distinctions</t>
  </si>
  <si>
    <t xml:space="preserve">Attorney work product research memorandum analyzing distinctions between CERCLA Section 107 cost recovery and Section 113 contribution claims and procedural implications</t>
  </si>
  <si>
    <t xml:space="preserve">TF-PRIV-002046 – TF-PRIV-002052</t>
  </si>
  <si>
    <t xml:space="preserve">April 1, 2023</t>
  </si>
  <si>
    <t xml:space="preserve">Re: Second Mediation Preparation</t>
  </si>
  <si>
    <t xml:space="preserve">Communication from outside counsel to General Counsel discussing preparation for second mediation session including updated settlement valuation and negotiation strategy</t>
  </si>
  <si>
    <t xml:space="preserve">TF-PRIV-002053 – TF-PRIV-002060</t>
  </si>
  <si>
    <t xml:space="preserve">April 5, 2023</t>
  </si>
  <si>
    <t xml:space="preserve">Re: Mediation Position Paper — Second Session Draft</t>
  </si>
  <si>
    <t xml:space="preserve">Communication from outside counsel to General Counsel attaching draft mediation position paper for second session reflecting attorney mental impressions and updated settlement analysis</t>
  </si>
  <si>
    <t xml:space="preserve">TF-PRIV-002061 – TF-PRIV-002068</t>
  </si>
  <si>
    <t xml:space="preserve">April 8, 2023</t>
  </si>
  <si>
    <t xml:space="preserve">Re: Joint Defense — Second Mediation Coordination</t>
  </si>
  <si>
    <t xml:space="preserve">Communication between co-defendants' counsel pursuant to common interest agreement coordinating positions for second mediation session in Meridian litigation</t>
  </si>
  <si>
    <t xml:space="preserve">TF-PRIV-002069 – TF-PRIV-002075</t>
  </si>
  <si>
    <t xml:space="preserve">April 12, 2023</t>
  </si>
  <si>
    <t xml:space="preserve">Re: Second Mediation Outcome Report</t>
  </si>
  <si>
    <t xml:space="preserve">Memorandum from General Counsel to CEO providing privileged report on second mediation outcome and recommended next steps for settlement negotiations</t>
  </si>
  <si>
    <t xml:space="preserve">TF-PRIV-002076 – TF-PRIV-002082</t>
  </si>
  <si>
    <t xml:space="preserve">April 15, 2023</t>
  </si>
  <si>
    <t xml:space="preserve">Re: Research Memo — Covenant Not to Sue Provisions in CERCLA Settlements</t>
  </si>
  <si>
    <t xml:space="preserve">Attorney work product research memorandum analyzing covenant not to sue provisions in CERCLA settlements and scope of liability release considerations</t>
  </si>
  <si>
    <t xml:space="preserve">TF-PRIV-002083 – TF-PRIV-002090</t>
  </si>
  <si>
    <t xml:space="preserve">April 18, 2023</t>
  </si>
  <si>
    <t xml:space="preserve">Re: Legal Guidance — Remediation Contractor Performance Issues</t>
  </si>
  <si>
    <t xml:space="preserve">Communication from Deputy General Counsel to Director of Operations providing legal guidance on remediation contractor performance issues and contractual remedy options</t>
  </si>
  <si>
    <t xml:space="preserve">TF-PRIV-002091 – TF-PRIV-002095</t>
  </si>
  <si>
    <t xml:space="preserve">January 22, 2024</t>
  </si>
  <si>
    <t xml:space="preserve">Re: Confidential</t>
  </si>
  <si>
    <t xml:space="preserve">Outside counsel to GC with allocation analysis and draft attachment - privileged/WP. Log date (1/22/2024) vs document (4/18/2023); subject "Confidential" and description insufficient; attachment not logged.</t>
  </si>
  <si>
    <t xml:space="preserve">Maintain; correct date/subject/description; log attachment.</t>
  </si>
  <si>
    <t xml:space="preserve">TF-PRIV-002096 – TF-PRIV-002102</t>
  </si>
  <si>
    <t xml:space="preserve">May 1, 2023</t>
  </si>
  <si>
    <t xml:space="preserve">Re: Third-Party Subpoena Response Strategy</t>
  </si>
  <si>
    <t xml:space="preserve">Communication from outside counsel to General Counsel discussing strategy for responding to third-party subpoena requests for Thornfield documents in related environmental proceeding</t>
  </si>
  <si>
    <t xml:space="preserve">TF-PRIV-002103 – TF-PRIV-002110</t>
  </si>
  <si>
    <t xml:space="preserve">May 5, 2023</t>
  </si>
  <si>
    <t xml:space="preserve">Re: Insurance Coverage Dispute — CGL Carrier</t>
  </si>
  <si>
    <t xml:space="preserve">Communication from General Counsel to outside counsel discussing insurance coverage dispute with CGL carrier regarding environmental defense costs and indemnity obligations</t>
  </si>
  <si>
    <t xml:space="preserve">TF-PRIV-002111 – TF-PRIV-002118</t>
  </si>
  <si>
    <t xml:space="preserve">May 8, 2023</t>
  </si>
  <si>
    <t xml:space="preserve">Gregory Dane, Esq.</t>
  </si>
  <si>
    <t xml:space="preserve">Re: Common Interest — Insurance Coverage Coordination</t>
  </si>
  <si>
    <t xml:space="preserve">Communication between Thornfield counsel and Pacific Mutual insurance counsel pursuant to common interest agreement coordinating defense strategy and insurance coverage positions</t>
  </si>
  <si>
    <t xml:space="preserve">JCI claimed for communication with Pacific Mutual in-house counsel re "Insurance Coverage Coordination." Pacific Mutual CIA §2.5 and §7.2 exclude coverage matters, and the GC's board memo (#177) anticipates Pacific Mutual will dispute coverage (adverse interest). Coverage-related content falls outside the CIA.</t>
  </si>
  <si>
    <t xml:space="preserve">Review document; maintain only liability-defense content within CIA scope; otherwise withdraw or redact.</t>
  </si>
  <si>
    <t xml:space="preserve">TF-PRIV-002119 – TF-PRIV-002125</t>
  </si>
  <si>
    <t xml:space="preserve">May 12, 2023</t>
  </si>
  <si>
    <t xml:space="preserve">Re: Research Memo — Environmental Insurance Coverage Under CGL Policies</t>
  </si>
  <si>
    <t xml:space="preserve">Attorney work product research memorandum analyzing environmental insurance coverage under comprehensive general liability policies and pollution exclusion interpretation</t>
  </si>
  <si>
    <t xml:space="preserve">TF-PRIV-002126 – TF-PRIV-002132</t>
  </si>
  <si>
    <t xml:space="preserve">May 15, 2023</t>
  </si>
  <si>
    <t xml:space="preserve">Re: Legal Advice — NJDEP Remedial Action Work Plan Approval</t>
  </si>
  <si>
    <t xml:space="preserve">Communication from General Counsel to VP of EHS providing legal advice regarding NJDEP remedial action work plan approval process and compliance deadlines</t>
  </si>
  <si>
    <t xml:space="preserve">TF-PRIV-002133 – TF-PRIV-002140</t>
  </si>
  <si>
    <t xml:space="preserve">May 18, 2023</t>
  </si>
  <si>
    <t xml:space="preserve">Re: Trial Readiness Assessment — Updated</t>
  </si>
  <si>
    <t xml:space="preserve">Communication from outside counsel to General Counsel providing updated trial readiness assessment and strategic recommendations for Meridian environmental litigation</t>
  </si>
  <si>
    <t xml:space="preserve">TF-PRIV-002141 – TF-PRIV-002148</t>
  </si>
  <si>
    <t xml:space="preserve">May 22, 2023</t>
  </si>
  <si>
    <t xml:space="preserve">Re: Draft Pretrial Memorandum</t>
  </si>
  <si>
    <t xml:space="preserve">Attorney work product draft pretrial memorandum reflecting attorney mental impressions regarding case theory, witness strategy, and anticipated trial presentation</t>
  </si>
  <si>
    <t xml:space="preserve">TF-PRIV-002149 – TF-PRIV-002155</t>
  </si>
  <si>
    <t xml:space="preserve">May 25, 2023</t>
  </si>
  <si>
    <t xml:space="preserve">Re: Pretrial Memorandum — Client Comments</t>
  </si>
  <si>
    <t xml:space="preserve">Communication from General Counsel to outside counsel providing privileged comments on draft pretrial memorandum and factual clarifications</t>
  </si>
  <si>
    <t xml:space="preserve">TF-PRIV-002156 – TF-PRIV-002162</t>
  </si>
  <si>
    <t xml:space="preserve">June 1, 2023</t>
  </si>
  <si>
    <t xml:space="preserve">Re: Joint Defense — Pretrial Memorandum Coordination</t>
  </si>
  <si>
    <t xml:space="preserve">Communication between co-defendants' counsel pursuant to common interest agreement coordinating pretrial memorandum submissions and ensuring consistent defense positions</t>
  </si>
  <si>
    <t xml:space="preserve">TF-PRIV-002163 – TF-PRIV-002170</t>
  </si>
  <si>
    <t xml:space="preserve">June 5, 2023</t>
  </si>
  <si>
    <t xml:space="preserve">Re: Legal Guidance — Employee Trial Testimony Preparation</t>
  </si>
  <si>
    <t xml:space="preserve">Communication from Deputy General Counsel to VP of EHS providing legal guidance on employee trial testimony preparation and witness cooperation obligations</t>
  </si>
  <si>
    <t xml:space="preserve">TF-PRIV-002171 – TF-PRIV-002178</t>
  </si>
  <si>
    <t xml:space="preserve">June 8, 2023</t>
  </si>
  <si>
    <t xml:space="preserve">Re: Research Memo — Remedy Selection Standards Under CERCLA</t>
  </si>
  <si>
    <t xml:space="preserve">Attorney work product research memorandum analyzing remedy selection standards under CERCLA National Contingency Plan and cost-effectiveness evaluation criteria</t>
  </si>
  <si>
    <t xml:space="preserve">TF-PRIV-002179 – TF-PRIV-002185</t>
  </si>
  <si>
    <t xml:space="preserve">June 12, 2023</t>
  </si>
  <si>
    <t xml:space="preserve">Re: Exhibit List Review — Privilege Concerns</t>
  </si>
  <si>
    <t xml:space="preserve">Communication from outside counsel to General Counsel reviewing proposed exhibit list and identifying privilege concerns regarding certain proposed trial exhibits</t>
  </si>
  <si>
    <t xml:space="preserve">TF-PRIV-002186 – TF-PRIV-002192</t>
  </si>
  <si>
    <t xml:space="preserve">June 15, 2023</t>
  </si>
  <si>
    <t xml:space="preserve">Re: Mid-Year 2023 Litigation Report</t>
  </si>
  <si>
    <t xml:space="preserve">Memorandum from General Counsel to CEO providing mid-year privileged legal update on trial preparation status and settlement posture for Meridian environmental litigation</t>
  </si>
  <si>
    <t xml:space="preserve">TF-PRIV-002193 – TF-PRIV-002200</t>
  </si>
  <si>
    <t xml:space="preserve">June 18, 2023</t>
  </si>
  <si>
    <t xml:space="preserve">Re: Common Interest — Updated Coverage Analysis</t>
  </si>
  <si>
    <t xml:space="preserve">Communication between Thornfield counsel and Pacific Mutual insurance counsel pursuant to common interest agreement sharing updated insurance coverage analysis and defense cost allocation</t>
  </si>
  <si>
    <t xml:space="preserve">JCI claimed for communication with Pacific Mutual in-house counsel re "Updated Coverage Analysis." Pacific Mutual CIA §2.5 and §7.2 exclude coverage matters, and the GC's board memo (#177) anticipates Pacific Mutual will dispute coverage (adverse interest). Coverage-related content falls outside the CIA.</t>
  </si>
  <si>
    <t xml:space="preserve">TF-PRIV-002201 – TF-PRIV-002208</t>
  </si>
  <si>
    <t xml:space="preserve">June 22, 2023</t>
  </si>
  <si>
    <t xml:space="preserve">Re: Research Memo — Stigma Damages in Environmental Contamination Cases</t>
  </si>
  <si>
    <t xml:space="preserve">Attorney work product research memorandum analyzing stigma damages claims in environmental contamination cases under New Jersey common law and statutory frameworks</t>
  </si>
  <si>
    <t xml:space="preserve">TF-PRIV-002209 – TF-PRIV-002215</t>
  </si>
  <si>
    <t xml:space="preserve">July 1, 2023</t>
  </si>
  <si>
    <t xml:space="preserve">Re: Revised Settlement Demand — Analysis</t>
  </si>
  <si>
    <t xml:space="preserve">Communication from outside counsel to General Counsel providing analysis of plaintiff's revised settlement demand and recommended negotiation strategy</t>
  </si>
  <si>
    <t xml:space="preserve">TF-PRIV-002216 – TF-PRIV-002222</t>
  </si>
  <si>
    <t xml:space="preserve">July 5, 2023</t>
  </si>
  <si>
    <t xml:space="preserve">Re: Settlement Counter-Proposal — Board Direction</t>
  </si>
  <si>
    <t xml:space="preserve">Communication from General Counsel to outside counsel discussing board-approved settlement counter-proposal and negotiation parameters for Meridian litigation</t>
  </si>
  <si>
    <t xml:space="preserve">TF-PRIV-002223 – TF-PRIV-002230</t>
  </si>
  <si>
    <t xml:space="preserve">July 10, 2023</t>
  </si>
  <si>
    <t xml:space="preserve">Re: Research Memo — CERCLA Section 122 Settlement Procedures</t>
  </si>
  <si>
    <t xml:space="preserve">Attorney work product research memorandum analyzing CERCLA Section 122 settlement procedures including public comment requirements and judicial approval standards</t>
  </si>
  <si>
    <t xml:space="preserve">TF-PRIV-002231 – TF-PRIV-002238</t>
  </si>
  <si>
    <t xml:space="preserve">July 15, 2023</t>
  </si>
  <si>
    <t xml:space="preserve">Re: Joint Defense — Settlement Allocation Discussion</t>
  </si>
  <si>
    <t xml:space="preserve">Communication between co-defendants' counsel pursuant to common interest agreement discussing allocation of settlement amounts between Thornfield and Garfield</t>
  </si>
  <si>
    <t xml:space="preserve">TF-PRIV-002239 – TF-PRIV-002245</t>
  </si>
  <si>
    <t xml:space="preserve">July 18, 2023</t>
  </si>
  <si>
    <t xml:space="preserve">Re: Legal Analysis — Settlement Reserve Accounting Treatment</t>
  </si>
  <si>
    <t xml:space="preserve">Communication from Deputy General Counsel to CFO providing legal analysis of accounting treatment for settlement reserves and financial reporting implications</t>
  </si>
  <si>
    <t xml:space="preserve">Deputy GC to CFO re settlement reserve accounting treatment - same predominant-purpose and auditor-disclosure risks as #121.</t>
  </si>
  <si>
    <t xml:space="preserve">Review document; confirm legal purpose and no auditor disclosure.</t>
  </si>
  <si>
    <t xml:space="preserve">TF-PRIV-002246 – TF-PRIV-002250</t>
  </si>
  <si>
    <t xml:space="preserve">March 10, 2024</t>
  </si>
  <si>
    <t xml:space="preserve">TBD</t>
  </si>
  <si>
    <t xml:space="preserve">Re: Pending Items</t>
  </si>
  <si>
    <t xml:space="preserve">Communication re: outstanding legal matters and case administration</t>
  </si>
  <si>
    <t xml:space="preserve">Facially deficient: author "TBD," no recipient, generic subject "Pending Items." Entry cannot establish any element of privilege under Rule 26(b)(5)(A).</t>
  </si>
  <si>
    <t xml:space="preserve">Identify document; re-log with complete information or withdraw and produce.</t>
  </si>
  <si>
    <t xml:space="preserve">TF-PRIV-002251 – TF-PRIV-002258</t>
  </si>
  <si>
    <t xml:space="preserve">August 1, 2023</t>
  </si>
  <si>
    <t xml:space="preserve">Re: Trial Schedule Update — Court Order</t>
  </si>
  <si>
    <t xml:space="preserve">Communication from outside counsel to General Counsel discussing court's updated trial schedule order and implications for trial preparation timeline</t>
  </si>
  <si>
    <t xml:space="preserve">TF-PRIV-002259 – TF-PRIV-002265</t>
  </si>
  <si>
    <t xml:space="preserve">August 5, 2023</t>
  </si>
  <si>
    <t xml:space="preserve">Re: Legal Advice — Ongoing Monitoring During Trial Period</t>
  </si>
  <si>
    <t xml:space="preserve">Communication from General Counsel to VP of EHS providing legal advice regarding continued environmental monitoring obligations during trial preparation period</t>
  </si>
  <si>
    <t xml:space="preserve">TF-PRIV-002266 – TF-PRIV-002272</t>
  </si>
  <si>
    <t xml:space="preserve">August 8, 2023</t>
  </si>
  <si>
    <t xml:space="preserve">Re: Draft Trial Brief — Liability Phase</t>
  </si>
  <si>
    <t xml:space="preserve">Attorney work product draft trial brief on liability issues reflecting attorney mental impressions regarding defense theories and evidentiary strategy</t>
  </si>
  <si>
    <t xml:space="preserve">TF-PRIV-002273 – TF-PRIV-002280</t>
  </si>
  <si>
    <t xml:space="preserve">August 12, 2023</t>
  </si>
  <si>
    <t xml:space="preserve">Re: Trial Brief Review — Client Comments Requested</t>
  </si>
  <si>
    <t xml:space="preserve">Communication from outside counsel to General Counsel requesting client review and comments on draft trial brief for liability phase of Meridian trial</t>
  </si>
  <si>
    <t xml:space="preserve">TF-PRIV-002281 – TF-PRIV-002288</t>
  </si>
  <si>
    <t xml:space="preserve">August 18, 2023</t>
  </si>
  <si>
    <t xml:space="preserve">Re: Joint Defense — Trial Brief Coordination</t>
  </si>
  <si>
    <t xml:space="preserve">Communication between co-defendants' counsel pursuant to common interest agreement coordinating trial briefs to ensure consistent legal positions and avoid contradictions</t>
  </si>
  <si>
    <t xml:space="preserve">TF-PRIV-002289 – TF-PRIV-002295</t>
  </si>
  <si>
    <t xml:space="preserve">August 22, 2023</t>
  </si>
  <si>
    <t xml:space="preserve">Re: Research Memo — Remediation Cost Reasonableness Standards</t>
  </si>
  <si>
    <t xml:space="preserve">Attorney work product research memorandum analyzing remediation cost reasonableness standards under CERCLA and challenges to government-selected remedies</t>
  </si>
  <si>
    <t xml:space="preserve">TF-PRIV-002296 – TF-PRIV-002302</t>
  </si>
  <si>
    <t xml:space="preserve">September 1, 2023</t>
  </si>
  <si>
    <t xml:space="preserve">Re: Trial Preparation Update — Confidential</t>
  </si>
  <si>
    <t xml:space="preserve">Memorandum from General Counsel to CEO providing privileged update on trial preparation progress and strategic assessment for Meridian environmental litigation</t>
  </si>
  <si>
    <t xml:space="preserve">TF-PRIV-002303 – TF-PRIV-002310</t>
  </si>
  <si>
    <t xml:space="preserve">September 5, 2023</t>
  </si>
  <si>
    <t xml:space="preserve">Re: Witness Preparation — Trial Testimony</t>
  </si>
  <si>
    <t xml:space="preserve">Communication from outside counsel to General Counsel discussing witness preparation schedule and strategy for defense trial testimony in Meridian litigation</t>
  </si>
  <si>
    <t xml:space="preserve">TF-PRIV-002311 – TF-PRIV-002318</t>
  </si>
  <si>
    <t xml:space="preserve">September 10, 2023</t>
  </si>
  <si>
    <t xml:space="preserve">Re: Trial Witness Examination Outlines — Defense Case</t>
  </si>
  <si>
    <t xml:space="preserve">Attorney work product trial examination outlines for defense witnesses reflecting attorney mental impressions regarding testimony strategy and anticipated cross-examination</t>
  </si>
  <si>
    <t xml:space="preserve">TF-PRIV-002319 – TF-PRIV-002325</t>
  </si>
  <si>
    <t xml:space="preserve">September 15, 2023</t>
  </si>
  <si>
    <t xml:space="preserve">Re: Legal Guidance — Trial Testimony Preparation</t>
  </si>
  <si>
    <t xml:space="preserve">Communication from Deputy General Counsel to Director of Operations providing legal guidance on trial testimony preparation and obligations as defense witness</t>
  </si>
  <si>
    <t xml:space="preserve">TF-PRIV-002326 – TF-PRIV-002332</t>
  </si>
  <si>
    <t xml:space="preserve">September 18, 2023</t>
  </si>
  <si>
    <t xml:space="preserve">Re: Common Interest — Trial Coverage Update</t>
  </si>
  <si>
    <t xml:space="preserve">Communication between Thornfield counsel and Pacific Mutual insurance counsel pursuant to common interest agreement providing trial preparation update and coverage implications</t>
  </si>
  <si>
    <t xml:space="preserve">JCI claimed for communication with Pacific Mutual in-house counsel re "Trial Coverage Update." Pacific Mutual CIA §2.5 and §7.2 exclude coverage matters, and the GC's board memo (#177) anticipates Pacific Mutual will dispute coverage (adverse interest). Coverage-related content falls outside the CIA.</t>
  </si>
  <si>
    <t xml:space="preserve">TF-PRIV-002333 – TF-PRIV-002340</t>
  </si>
  <si>
    <t xml:space="preserve">October 1, 2023</t>
  </si>
  <si>
    <t xml:space="preserve">Re: Opening Statement Draft</t>
  </si>
  <si>
    <t xml:space="preserve">Attorney work product draft opening statement for CERCLA bench trial reflecting attorney mental impressions regarding defense narrative and case theory</t>
  </si>
  <si>
    <t xml:space="preserve">TF-PRIV-002341 – TF-PRIV-002348</t>
  </si>
  <si>
    <t xml:space="preserve">October 5, 2023</t>
  </si>
  <si>
    <t xml:space="preserve">Re: Opening Statement — Client Feedback</t>
  </si>
  <si>
    <t xml:space="preserve">Communication from General Counsel to outside counsel providing privileged feedback on draft opening statement and suggested revisions</t>
  </si>
  <si>
    <t xml:space="preserve">TF-PRIV-002349 – TF-PRIV-002358</t>
  </si>
  <si>
    <t xml:space="preserve">October 10, 2023</t>
  </si>
  <si>
    <t xml:space="preserve">Re: Cross-Examination Outlines — Plaintiff's Witnesses</t>
  </si>
  <si>
    <t xml:space="preserve">Attorney work product cross-examination outlines for plaintiff's fact and expert witnesses reflecting attorney mental impressions regarding impeachment strategy</t>
  </si>
  <si>
    <t xml:space="preserve">TF-PRIV-002359 – TF-PRIV-002365</t>
  </si>
  <si>
    <t xml:space="preserve">October 15, 2023</t>
  </si>
  <si>
    <t xml:space="preserve">Re: Joint Defense — Cross-Examination Coordination</t>
  </si>
  <si>
    <t xml:space="preserve">Communication between co-defendants' counsel pursuant to common interest agreement coordinating cross-examination strategy to avoid duplicative questioning of plaintiff's witnesses</t>
  </si>
  <si>
    <t xml:space="preserve">TF-PRIV-002366 – TF-PRIV-002375</t>
  </si>
  <si>
    <t xml:space="preserve">November 1, 2023</t>
  </si>
  <si>
    <t xml:space="preserve">Re: Mid-Trial Assessment</t>
  </si>
  <si>
    <t xml:space="preserve">Communication from outside counsel to General Counsel providing privileged mid-trial assessment of case developments and strategic recommendations</t>
  </si>
  <si>
    <t xml:space="preserve">TF-PRIV-002376 – TF-PRIV-002382</t>
  </si>
  <si>
    <t xml:space="preserve">November 5, 2023</t>
  </si>
  <si>
    <t xml:space="preserve">Re: Trial Progress Report — Confidential</t>
  </si>
  <si>
    <t xml:space="preserve">Memorandum from General Counsel to CEO providing privileged report on trial proceedings and assessment of case outlook</t>
  </si>
  <si>
    <t xml:space="preserve">TF-PRIV-002383 – TF-PRIV-002395</t>
  </si>
  <si>
    <t xml:space="preserve">December 1, 2023</t>
  </si>
  <si>
    <t xml:space="preserve">Re: Post-Trial Brief — Draft</t>
  </si>
  <si>
    <t xml:space="preserve">Attorney work product draft post-trial brief reflecting attorney mental impressions regarding trial evidence evaluation and proposed findings of fact and conclusions of law</t>
  </si>
  <si>
    <t xml:space="preserve">TF-PRIV-002396 – TF-PRIV-002402</t>
  </si>
  <si>
    <t xml:space="preserve">December 5, 2023</t>
  </si>
  <si>
    <t xml:space="preserve">Re: Post-Trial Brief — Client Comments</t>
  </si>
  <si>
    <t xml:space="preserve">Communication from General Counsel to outside counsel providing privileged comments and factual clarifications on draft post-trial brief</t>
  </si>
  <si>
    <t xml:space="preserve">TF-PRIV-002403 – TF-PRIV-002410</t>
  </si>
  <si>
    <t xml:space="preserve">December 10, 2023</t>
  </si>
  <si>
    <t xml:space="preserve">Re: Joint Defense — Post-Trial Briefing Coordination</t>
  </si>
  <si>
    <t xml:space="preserve">Communication between co-defendants' counsel pursuant to common interest agreement coordinating post-trial briefing strategy and consistent legal positions</t>
  </si>
  <si>
    <t xml:space="preserve">TF-PRIV-002411 – TF-PRIV-002418</t>
  </si>
  <si>
    <t xml:space="preserve">January 5, 2024</t>
  </si>
  <si>
    <t xml:space="preserve">Re: Post-Trial Assessment and Appellate Strategy</t>
  </si>
  <si>
    <t xml:space="preserve">Outside counsel's post-trial assessment memorandum analyzing trial outcome probabilities and preliminary appellate strategy considerations, reflecting attorney mental impressions</t>
  </si>
  <si>
    <t xml:space="preserve">TF-PRIV-002419 – TF-PRIV-002425</t>
  </si>
  <si>
    <t xml:space="preserve">February 1, 2024</t>
  </si>
  <si>
    <t xml:space="preserve">Re: Post-Trial Litigation Update — Year-End Assessment</t>
  </si>
  <si>
    <t xml:space="preserve">Memorandum from General Counsel to CEO providing privileged post-trial litigation update and strategic assessment for anticipated court ruling and potential appellate proceedings</t>
  </si>
  <si>
    <t xml:space="preserve">TF-PRIV-002426 – TF-PRIV-002435</t>
  </si>
  <si>
    <t xml:space="preserve">April 15, 2024</t>
  </si>
  <si>
    <t xml:space="preserve">Re: Court Ruling Analysis and Next Steps</t>
  </si>
  <si>
    <t xml:space="preserve">Communication from outside counsel to General Counsel providing analysis of court ruling on liability and damages and recommended next steps including potential appeal</t>
  </si>
  <si>
    <t xml:space="preserve">TF-PRIV-002436 – TF-PRIV-003120</t>
  </si>
  <si>
    <t xml:space="preserve">June 30, 2024</t>
  </si>
  <si>
    <t xml:space="preserve">Re: Appellate Strategy Assessment and Case Archive</t>
  </si>
  <si>
    <t xml:space="preserve">Outside counsel's comprehensive appellate strategy assessment package including legal analysis of potential appellate issues, standards of review, and case archive index, reflecting attorney mental impressions and litigation strategy</t>
  </si>
  <si>
    <t xml:space="preserve">Priority</t>
  </si>
  <si>
    <t xml:space="preserve">Document</t>
  </si>
  <si>
    <t xml:space="preserve">Disclosure / Exposure Event</t>
  </si>
  <si>
    <t xml:space="preserve">Recipient Outside Privilege</t>
  </si>
  <si>
    <t xml:space="preserve">Inadvertent? (FRE 502(b)(1))</t>
  </si>
  <si>
    <t xml:space="preserve">Reasonable Steps / Prompt Rectification</t>
  </si>
  <si>
    <t xml:space="preserve">Subject-Matter Waiver Risk (FRE 502(a))</t>
  </si>
  <si>
    <t xml:space="preserve">Likelihood Protection Can Be Recovered</t>
  </si>
  <si>
    <t xml:space="preserve">Deadline / Owner</t>
  </si>
  <si>
    <t xml:space="preserve">1 - Immediate</t>
  </si>
  <si>
    <t xml:space="preserve">TF-PRIV-001011 – 001022</t>
  </si>
  <si>
    <t xml:space="preserve">GC Langford memo to CEO (8/30/2020) re CERCLA defense strategy and settlement posture</t>
  </si>
  <si>
    <t xml:space="preserve">GC emailed the memo to NJDEP Asst. Commissioner Bettini (9/15/2020) during settlement talks</t>
  </si>
  <si>
    <t xml:space="preserve">NJDEP, which is co-plaintiff and adversary</t>
  </si>
  <si>
    <t xml:space="preserve">No. Deliberate transmittal by the GC, who is the privilege-holder's authorized officer</t>
  </si>
  <si>
    <t xml:space="preserve">Not applicable to a deliberate disclosure. The memo itself said disclosure would waive</t>
  </si>
  <si>
    <t xml:space="preserve">High. Disclosure to an adversary in the case; plaintiffs will argue fairness requires production of other defense-strategy communications on the same subject</t>
  </si>
  <si>
    <t xml:space="preserve">Very Low</t>
  </si>
  <si>
    <t xml:space="preserve">Treat the memo as waived. Correct the log. Do not use the memo affirmatively, so the waiver stays limited to it under 502(a). Research FRE 408 / settlement-privilege limits on use. Brief the client on the scope of the waiver. Prepare opposition to a subject-matter waiver motion.</t>
  </si>
  <si>
    <t xml:space="preserve">Now. Owner: CLM (Marsh)</t>
  </si>
  <si>
    <t xml:space="preserve">TF-PRIV-000813 – 000820</t>
  </si>
  <si>
    <t xml:space="preserve">Marsh litigation-strategy assessment (9/8/2020), forwarded by GC</t>
  </si>
  <si>
    <t xml:space="preserve">GC forwarded the full assessment to Ridgeline Risk Partners (9/10/2020) for an insurance-renewal submission</t>
  </si>
  <si>
    <t xml:space="preserve">Ridgeline Risk Partners LLP (broker, not covered by any CIA)</t>
  </si>
  <si>
    <t xml:space="preserve">No. Deliberate transmittal by the GC</t>
  </si>
  <si>
    <t xml:space="preserve">None taken. The GC's own 8/30/2020 memo warned against sharing with Ridgeline</t>
  </si>
  <si>
    <t xml:space="preserve">Moderate. Waiver of the disclosed memo is likely. Scope can be argued to stop there if the memo is not used affirmatively</t>
  </si>
  <si>
    <t xml:space="preserve">Low</t>
  </si>
  <si>
    <t xml:space="preserve">Correct the log. Send Ridgeline a written request to sequester and return/destroy the material and to confirm whether it went to underwriters, including Pacific Mutual. Prepare the argument that the waiver is limited to the disclosed communication.</t>
  </si>
  <si>
    <t xml:space="preserve">Within 7 days. Owner: CLM / Langford</t>
  </si>
  <si>
    <t xml:space="preserve">TF-PRIV-000616 – 000625</t>
  </si>
  <si>
    <t xml:space="preserve">Marsh (6/10/2021) and Kapadia (6/11/2021) litigation-strategy emails</t>
  </si>
  <si>
    <t xml:space="preserve">Pruitt forwarded the chain to Dr. Reese at Graystone (6/14/2021) "to help your work"</t>
  </si>
  <si>
    <t xml:space="preserve">Graystone Compliance Advisors / Dr. Reese (MSA vendor at the time; now Thornfield's testifying expert)</t>
  </si>
  <si>
    <t xml:space="preserve">Arguable. The disclosure was by an employee who was not authorized to waive, and against counsel's express instruction</t>
  </si>
  <si>
    <t xml:space="preserve">Counsel had given a written instruction not to share, which counts as a reasonable precaution. But the disclosure was not caught for years, so "prompt rectification" is hard to show</t>
  </si>
  <si>
    <t xml:space="preserve">High. If Reese "considered" the email, Rule 26(a)(2)(B)(ii) makes it discoverable whatever its privilege status</t>
  </si>
  <si>
    <t xml:space="preserve">Low–Moderate</t>
  </si>
  <si>
    <t xml:space="preserve">Send a 502(b) notice now and demand that Graystone sequester the material. Determine whether Reese relied on or considered it. If he did, expect production. Correct the log so it reflects the forward. Assess the effect on the Reese designation.</t>
  </si>
  <si>
    <t xml:space="preserve">Now. Owner: CLM (Torano)</t>
  </si>
  <si>
    <t xml:space="preserve">2 - High</t>
  </si>
  <si>
    <t xml:space="preserve">TF-PRIV-000673 – 000682</t>
  </si>
  <si>
    <t xml:space="preserve">Marsh to Whitmore (3/15/2021): Thornfield internal CERCLA allocation analysis</t>
  </si>
  <si>
    <t xml:space="preserve">Shared with co-defendant counsel before the CIA was executed (8/3/2021)</t>
  </si>
  <si>
    <t xml:space="preserve">Garfield / Whitmore &amp; Tan (interests adverse on allocation)</t>
  </si>
  <si>
    <t xml:space="preserve">No. Sent deliberately</t>
  </si>
  <si>
    <t xml:space="preserve">Not applicable. CIA §§2.4 and 5.4 disclaim retroactivity, and §7.2 recites that there was no prior agreement</t>
  </si>
  <si>
    <t xml:space="preserve">Moderate. Covers the allocation analysis and related internal assessments</t>
  </si>
  <si>
    <t xml:space="preserve">Withdraw the JCI claim, or preserve only an informal common-interest argument under Teleglobe (weak on these facts). Correct the description. Evaluate whether the internal allocation work product needs protection from a subject-matter waiver argument.</t>
  </si>
  <si>
    <t xml:space="preserve">Before log is re-served. Owner: CLM</t>
  </si>
  <si>
    <t xml:space="preserve">TF-PRIV-000721 – 000730</t>
  </si>
  <si>
    <t xml:space="preserve">Draft Joint Defense Strategy Memorandum (5/2/2021)</t>
  </si>
  <si>
    <t xml:space="preserve">Shared with Garfield counsel before the CIA was executed</t>
  </si>
  <si>
    <t xml:space="preserve">Garfield / Whitmore &amp; Tan; also authorized forwarding to Rachel Dunn</t>
  </si>
  <si>
    <t xml:space="preserve">Not applicable. Same CIA provisions as #85</t>
  </si>
  <si>
    <t xml:space="preserve">Moderate</t>
  </si>
  <si>
    <t xml:space="preserve">Fallback argument: an informal common-interest arrangement existed (the memo reflects a shared defense purpose and pending formalization). Otherwise withdraw the claim. Correct the description.</t>
  </si>
  <si>
    <t xml:space="preserve">TF-PRIV-001383 – 001415</t>
  </si>
  <si>
    <t xml:space="preserve">Q4 2021 Board package: Attachment 1 is the GC's privileged litigation-risk memo (001385–86); Attachment 2 is a business review (001387–1415)</t>
  </si>
  <si>
    <t xml:space="preserve">The package must be produced in part. Privileged pages will be at risk if the business review is produced from the combined file</t>
  </si>
  <si>
    <t xml:space="preserve">n/a (production risk)</t>
  </si>
  <si>
    <t xml:space="preserve">If produced unredacted, yes</t>
  </si>
  <si>
    <t xml:space="preserve">A redaction/segregation protocol is needed. Rely on the 502(d) order if one has been entered</t>
  </si>
  <si>
    <t xml:space="preserve">Low if handled correctly</t>
  </si>
  <si>
    <t xml:space="preserve">Produce Attachment 2 and a redacted cover email. Withhold Attachment 1. Re-log as separate entries. If any unredacted copy has already been produced, send a clawback notice right away.</t>
  </si>
  <si>
    <t xml:space="preserve">With next production. Owner: DataStream / CLM QC</t>
  </si>
  <si>
    <t xml:space="preserve">44 / 119 / 156</t>
  </si>
  <si>
    <t xml:space="preserve">TF-PRIV-000351–358; 000943–950; 001223–1230</t>
  </si>
  <si>
    <t xml:space="preserve">Choi business emails to the GC, each ending with a one-line request for legal advice</t>
  </si>
  <si>
    <t xml:space="preserve">The claims will be withdrawn and the documents produced with redactions. The legal-request sentences must be redacted</t>
  </si>
  <si>
    <t xml:space="preserve">Same redaction/QC protocol as #177</t>
  </si>
  <si>
    <t xml:space="preserve">Low if redacted</t>
  </si>
  <si>
    <t xml:space="preserve">Produce each document with narrow redactions of the legal-advice request and log the redactions. If produced unredacted, send a clawback notice for the redacted text only.</t>
  </si>
  <si>
    <t xml:space="preserve">With next production. Owner: CLM</t>
  </si>
  <si>
    <t xml:space="preserve">3 - Monitor</t>
  </si>
  <si>
    <t xml:space="preserve">TF-PRIV-001573 – 001585</t>
  </si>
  <si>
    <t xml:space="preserve">Reese contamination-migration report (3/22/2022)</t>
  </si>
  <si>
    <t xml:space="preserve">The report must be produced because Reese is now a testifying expert. Drafts and attorney-expert communications (entries 155, 246, 205–207) stay protected under Rule 26(b)(4)(B)–(C)</t>
  </si>
  <si>
    <t xml:space="preserve">Opposing parties (by rule)</t>
  </si>
  <si>
    <t xml:space="preserve">n/a</t>
  </si>
  <si>
    <t xml:space="preserve">Build a clean production set for the expert file. Screen out drafts and counsel communications</t>
  </si>
  <si>
    <t xml:space="preserve">Moderate. Plaintiffs will seek the drafts and counsel communications</t>
  </si>
  <si>
    <t xml:space="preserve">Moderate (for drafts)</t>
  </si>
  <si>
    <t xml:space="preserve">Produce the final report and the facts/data considered. Withhold and log drafts and counsel communications. If any draft goes out in the expert-file production, claw it back under 502(b)/(d).</t>
  </si>
  <si>
    <t xml:space="preserve">With expert production. Owner: CLM</t>
  </si>
  <si>
    <t xml:space="preserve">TF-PRIV-001661 – 001668</t>
  </si>
  <si>
    <t xml:space="preserve">Marsh interview questions to former plant manager Keith Brannigan (1/7/2023)</t>
  </si>
  <si>
    <t xml:space="preserve">Sent to the personal email of a former employee who has no continuing duty to Thornfield</t>
  </si>
  <si>
    <t xml:space="preserve">Keith Brannigan (former employee)</t>
  </si>
  <si>
    <t xml:space="preserve">Confidentiality was requested in the email itself</t>
  </si>
  <si>
    <t xml:space="preserve">Moderate (as WP)</t>
  </si>
  <si>
    <t xml:space="preserve">Re-designate as work product. Send a letter to Brannigan confirming confidentiality and asking him not to forward. Assume his answers will be discoverable.</t>
  </si>
  <si>
    <t xml:space="preserve">30 days. Owner: CLM</t>
  </si>
  <si>
    <t xml:space="preserve">270 / 281 / 299</t>
  </si>
  <si>
    <t xml:space="preserve">See log</t>
  </si>
  <si>
    <t xml:space="preserve">Marsh communications with Pacific Mutual in-house counsel on coverage</t>
  </si>
  <si>
    <t xml:space="preserve">Coverage topics fall outside the Pacific Mutual CIA (§§2.5, 7.2), and Pacific Mutual may be adverse on coverage</t>
  </si>
  <si>
    <t xml:space="preserve">Pacific Mutual Indemnity Co.</t>
  </si>
  <si>
    <t xml:space="preserve">Review each document and segregate liability-defense content from coverage content</t>
  </si>
  <si>
    <t xml:space="preserve">Review the documents. Redact or withdraw the coverage content. Keep the liability-defense content within the CIA.</t>
  </si>
  <si>
    <t xml:space="preserve">Field</t>
  </si>
  <si>
    <t xml:space="preserve">As Logged</t>
  </si>
  <si>
    <t xml:space="preserve">Per Document / Correct Value</t>
  </si>
  <si>
    <t xml:space="preserve">Source</t>
  </si>
  <si>
    <t xml:space="preserve">Date</t>
  </si>
  <si>
    <t xml:space="preserve">April 10, 2019</t>
  </si>
  <si>
    <t xml:space="preserve">sample-doc-025</t>
  </si>
  <si>
    <t xml:space="preserve">September 22, 2021</t>
  </si>
  <si>
    <t xml:space="preserve">sample-doc-076</t>
  </si>
  <si>
    <t xml:space="preserve">Author/Recipient/Date</t>
  </si>
  <si>
    <t xml:space="preserve">Arjun Kapadia to Catherine Marsh; June 10, 2021</t>
  </si>
  <si>
    <t xml:space="preserve">Donald Pruitt to Dr. Franklin Reese (Graystone) forwarding the Marsh/Kapadia chain; June 14, 2021</t>
  </si>
  <si>
    <t xml:space="preserve">sample-doc-078</t>
  </si>
  <si>
    <t xml:space="preserve">April 14, 2021 (document also references fees "through June 2024", so verify integrity)</t>
  </si>
  <si>
    <t xml:space="preserve">sample-doc-093</t>
  </si>
  <si>
    <t xml:space="preserve">June 28, 2019</t>
  </si>
  <si>
    <t xml:space="preserve">sample-doc-096</t>
  </si>
  <si>
    <t xml:space="preserve">Catherine Marsh to Margaret Langford; September 8, 2020</t>
  </si>
  <si>
    <t xml:space="preserve">Margaret Langford to Annette Sørensen (Ridgeline) forwarding the Marsh memo; September 10, 2020</t>
  </si>
  <si>
    <t xml:space="preserve">sample-doc-102</t>
  </si>
  <si>
    <t xml:space="preserve">Date/Recipient/CC</t>
  </si>
  <si>
    <t xml:space="preserve">July 22, 2021; DataStream Document Solutions LLC; no CC</t>
  </si>
  <si>
    <t xml:space="preserve">October 14, 2021; Jason Falk (DataStream); CC Philip Torano</t>
  </si>
  <si>
    <t xml:space="preserve">sample-doc-104</t>
  </si>
  <si>
    <t xml:space="preserve">Date/Recipient</t>
  </si>
  <si>
    <t xml:space="preserve">August 10, 2021; DataStream Document Solutions LLC</t>
  </si>
  <si>
    <t xml:space="preserve">October 14, 2021; Jordan Kessler (DataStream)</t>
  </si>
  <si>
    <t xml:space="preserve">sample-doc-108</t>
  </si>
  <si>
    <t xml:space="preserve">Recipient/Date</t>
  </si>
  <si>
    <t xml:space="preserve">Richard Voss; August 30, 2020</t>
  </si>
  <si>
    <t xml:space="preserve">Bates range opens with the 9/15/2020 transmittal from Langford to Lawrence Bettini (NJDEP) enclosing the 8/30/2020 memo</t>
  </si>
  <si>
    <t xml:space="preserve">sample-doc-128</t>
  </si>
  <si>
    <t xml:space="preserve">December 20, 2019</t>
  </si>
  <si>
    <t xml:space="preserve">sample-doc-134</t>
  </si>
  <si>
    <t xml:space="preserve">Date/Subject/Description</t>
  </si>
  <si>
    <t xml:space="preserve">October 5, 2021; "Re: Litigation Update"; "Confidential communication re: legal matter"</t>
  </si>
  <si>
    <t xml:space="preserve">October 18, 2021; "Re: CERCLA Contribution Claim Analysis — Edison Plant"; GC analysis of §113(f) contribution position against Garfield</t>
  </si>
  <si>
    <t xml:space="preserve">sample-doc-147</t>
  </si>
  <si>
    <t xml:space="preserve">Date/Subject/Basis</t>
  </si>
  <si>
    <t xml:space="preserve">November 12, 2021; "Re: Case Strategy"; ACP</t>
  </si>
  <si>
    <t xml:space="preserve">October 14, 2022; "Re: CERCLA Contribution Claim Analysis and Summary Judgment Strategy"; WP/ACP</t>
  </si>
  <si>
    <t xml:space="preserve">sample-doc-152</t>
  </si>
  <si>
    <t xml:space="preserve">(blank)</t>
  </si>
  <si>
    <t xml:space="preserve">Philip Torano, Esq.; Rachel Dunn, Esq.</t>
  </si>
  <si>
    <t xml:space="preserve">sample-doc-158</t>
  </si>
  <si>
    <t xml:space="preserve">February 8, 2022; "Re: Research Memo"; "Privileged and confidential"</t>
  </si>
  <si>
    <t xml:space="preserve">October 14, 2021; "Analysis of Potential Contribution Claims Under CERCLA § 113(f)"; associate research memo prepared at partner direction</t>
  </si>
  <si>
    <t xml:space="preserve">sample-doc-168</t>
  </si>
  <si>
    <t xml:space="preserve">April 22, 2022; "Re: Case Update"; "Legal communication"</t>
  </si>
  <si>
    <t xml:space="preserve">October 14, 2022; "Status Update — Document Collection, Edison Facility Custodians"</t>
  </si>
  <si>
    <t xml:space="preserve">sample-doc-175</t>
  </si>
  <si>
    <t xml:space="preserve">Recipients/CC/Structure</t>
  </si>
  <si>
    <t xml:space="preserve">Board of Directors (12 members); CC Richard Voss</t>
  </si>
  <si>
    <t xml:space="preserve">Name all 12 directors; CC Voss and Kapadia; log Attachment 1 and Attachment 2 as separate entries</t>
  </si>
  <si>
    <t xml:space="preserve">sample-doc-177</t>
  </si>
  <si>
    <t xml:space="preserve">sample-doc-184</t>
  </si>
  <si>
    <t xml:space="preserve">Date/Subject</t>
  </si>
  <si>
    <t xml:space="preserve">July 18, 2022; "Re: Discussion"</t>
  </si>
  <si>
    <t xml:space="preserve">April 18, 2023; "Re: Updated Assessment — PFAS Remediation Liability Exposure" (signature block is anomalous, so verify)</t>
  </si>
  <si>
    <t xml:space="preserve">sample-doc-189</t>
  </si>
  <si>
    <t xml:space="preserve">August 30, 2022; "Re: Update"</t>
  </si>
  <si>
    <t xml:space="preserve">October 18, 2022; "Updated Assessment — Contribution Claim Strategy Under CERCLA § 113(f)"</t>
  </si>
  <si>
    <t xml:space="preserve">sample-doc-201</t>
  </si>
  <si>
    <t xml:space="preserve">CC/Description</t>
  </si>
  <si>
    <t xml:space="preserve">(blank); "Interview of company witness"</t>
  </si>
  <si>
    <t xml:space="preserve">CC Philip Torano; "Outside counsel questions to former employee"</t>
  </si>
  <si>
    <t xml:space="preserve">sample-doc-210</t>
  </si>
  <si>
    <t xml:space="preserve">August 14, 2023; "Re: Status"</t>
  </si>
  <si>
    <t xml:space="preserve">November 17, 2023; "Re: Updated Assessment — Contribution Claim Exposure and Allocation Framework"</t>
  </si>
  <si>
    <t xml:space="preserve">sample-doc-245</t>
  </si>
  <si>
    <t xml:space="preserve">January 22, 2024; "Re: Confidential"</t>
  </si>
  <si>
    <t xml:space="preserve">April 18, 2023; "Updated Assessment — PFAS Remediation Cost Allocation and Contribution Claim Strategy"; log the attachment</t>
  </si>
  <si>
    <t xml:space="preserve">sample-doc-267</t>
  </si>
  <si>
    <t xml:space="preserve">TF-PRIV-000351 – 000358</t>
  </si>
  <si>
    <t xml:space="preserve">Document runs TF-PRIV-000351 – 000353</t>
  </si>
  <si>
    <t xml:space="preserve">sample-doc-044</t>
  </si>
  <si>
    <t xml:space="preserve">Invalid date; obtain from metadata</t>
  </si>
  <si>
    <t xml:space="preserve">Log</t>
  </si>
  <si>
    <t xml:space="preserve">Author/Recipient</t>
  </si>
  <si>
    <t xml:space="preserve">TBD / (blank)</t>
  </si>
  <si>
    <t xml:space="preserve">Identify the document and complete all fields, or withdraw the entry</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</si>
</sst>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b val="true"/>
      <sz val="11"/>
      <name val="Cambria"/>
      <family val="0"/>
      <charset val="1"/>
    </font>
  </fonts>
  <fills count="8">
    <fill>
      <patternFill patternType="none"/>
    </fill>
    <fill>
      <patternFill patternType="gray125"/>
    </fill>
    <fill>
      <patternFill patternType="solid">
        <fgColor rgb="FF1F3864"/>
        <bgColor rgb="FF333333"/>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FFF4B084"/>
        <bgColor rgb="FFF8CBAD"/>
      </patternFill>
    </fill>
  </fills>
  <borders count="3">
    <border diagonalUp="false" diagonalDown="false">
      <left/>
      <right/>
      <top/>
      <bottom/>
      <diagonal/>
    </border>
    <border diagonalUp="false" diagonalDown="false">
      <left/>
      <right/>
      <top style="thin"/>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0" fillId="6" borderId="2" xfId="0" applyFont="true" applyBorder="true" applyAlignment="true" applyProtection="false">
      <alignment horizontal="general" vertical="top" textRotation="0" wrapText="true" indent="0" shrinkToFit="false"/>
      <protection locked="true" hidden="false"/>
    </xf>
    <xf numFmtId="164" fontId="0" fillId="3" borderId="2" xfId="0" applyFont="true" applyBorder="true" applyAlignment="true" applyProtection="false">
      <alignment horizontal="general" vertical="top" textRotation="0" wrapText="true" indent="0" shrinkToFit="false"/>
      <protection locked="true" hidden="false"/>
    </xf>
    <xf numFmtId="164" fontId="0" fillId="4" borderId="2" xfId="0" applyFont="true" applyBorder="true" applyAlignment="true" applyProtection="false">
      <alignment horizontal="general" vertical="top" textRotation="0" wrapText="true" indent="0" shrinkToFit="false"/>
      <protection locked="true" hidden="false"/>
    </xf>
    <xf numFmtId="164" fontId="0" fillId="5" borderId="2" xfId="0" applyFont="true" applyBorder="true" applyAlignment="true" applyProtection="false">
      <alignment horizontal="general" vertical="top" textRotation="0" wrapText="true" indent="0" shrinkToFit="false"/>
      <protection locked="true" hidden="false"/>
    </xf>
    <xf numFmtId="164" fontId="0" fillId="7"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4B084"/>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4B084"/>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6"/>
    <col collapsed="false" customWidth="true" hidden="false" outlineLevel="0" max="4" min="4" style="0" width="12"/>
  </cols>
  <sheetData>
    <row r="1" customFormat="false" ht="17.35" hidden="false" customHeight="false" outlineLevel="0" collapsed="false">
      <c r="A1" s="1" t="s">
        <v>0</v>
      </c>
    </row>
    <row r="2" customFormat="false" ht="30" hidden="false" customHeight="true" outlineLevel="0" collapsed="false">
      <c r="A2" s="2" t="s">
        <v>1</v>
      </c>
      <c r="B2" s="2"/>
      <c r="C2" s="2"/>
      <c r="D2" s="2"/>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0" t="n">
        <f aca="false">COUNTIF('Full Log Assessment'!L:L,A5)</f>
        <v>249</v>
      </c>
      <c r="C5" s="0" t="n">
        <f aca="false">COUNTIFS('Full Log Assessment'!L:L,A5,'Full Log Assessment'!K:K,"Yes")</f>
        <v>3</v>
      </c>
      <c r="D5" s="5" t="n">
        <f aca="false">B5/B10</f>
        <v>0.798076923076923</v>
      </c>
    </row>
    <row r="6" customFormat="false" ht="15" hidden="false" customHeight="false" outlineLevel="0" collapsed="false">
      <c r="A6" s="6" t="s">
        <v>7</v>
      </c>
      <c r="B6" s="0" t="n">
        <f aca="false">COUNTIF('Full Log Assessment'!L:L,A6)</f>
        <v>16</v>
      </c>
      <c r="C6" s="0" t="n">
        <f aca="false">COUNTIFS('Full Log Assessment'!L:L,A6,'Full Log Assessment'!K:K,"Yes")</f>
        <v>14</v>
      </c>
      <c r="D6" s="5" t="n">
        <f aca="false">B6/B10</f>
        <v>0.0512820512820513</v>
      </c>
    </row>
    <row r="7" customFormat="false" ht="15" hidden="false" customHeight="false" outlineLevel="0" collapsed="false">
      <c r="A7" s="7" t="s">
        <v>8</v>
      </c>
      <c r="B7" s="0" t="n">
        <f aca="false">COUNTIF('Full Log Assessment'!L:L,A7)</f>
        <v>15</v>
      </c>
      <c r="C7" s="0" t="n">
        <f aca="false">COUNTIFS('Full Log Assessment'!L:L,A7,'Full Log Assessment'!K:K,"Yes")</f>
        <v>7</v>
      </c>
      <c r="D7" s="5" t="n">
        <f aca="false">B7/B10</f>
        <v>0.0480769230769231</v>
      </c>
    </row>
    <row r="8" customFormat="false" ht="15" hidden="false" customHeight="false" outlineLevel="0" collapsed="false">
      <c r="A8" s="8" t="s">
        <v>9</v>
      </c>
      <c r="B8" s="0" t="n">
        <f aca="false">COUNTIF('Full Log Assessment'!L:L,A8)</f>
        <v>27</v>
      </c>
      <c r="C8" s="0" t="n">
        <f aca="false">COUNTIFS('Full Log Assessment'!L:L,A8,'Full Log Assessment'!K:K,"Yes")</f>
        <v>20</v>
      </c>
      <c r="D8" s="5" t="n">
        <f aca="false">B8/B10</f>
        <v>0.0865384615384615</v>
      </c>
    </row>
    <row r="9" customFormat="false" ht="15" hidden="false" customHeight="false" outlineLevel="0" collapsed="false">
      <c r="A9" s="9" t="s">
        <v>10</v>
      </c>
      <c r="B9" s="0" t="n">
        <f aca="false">COUNTIF('Full Log Assessment'!L:L,A9)</f>
        <v>5</v>
      </c>
      <c r="C9" s="0" t="n">
        <f aca="false">COUNTIFS('Full Log Assessment'!L:L,A9,'Full Log Assessment'!K:K,"Yes")</f>
        <v>5</v>
      </c>
      <c r="D9" s="5" t="n">
        <f aca="false">B9/B10</f>
        <v>0.016025641025641</v>
      </c>
    </row>
    <row r="10" customFormat="false" ht="15" hidden="false" customHeight="false" outlineLevel="0" collapsed="false">
      <c r="A10" s="10" t="s">
        <v>11</v>
      </c>
      <c r="B10" s="11" t="n">
        <f aca="false">SUM(B5:B9)</f>
        <v>312</v>
      </c>
      <c r="C10" s="11" t="n">
        <f aca="false">SUM(C5:C9)</f>
        <v>49</v>
      </c>
      <c r="D10" s="12" t="n">
        <f aca="false">SUM(D5:D9)</f>
        <v>1</v>
      </c>
    </row>
    <row r="12" customFormat="false" ht="15" hidden="false" customHeight="false" outlineLevel="0" collapsed="false">
      <c r="A12" s="0" t="s">
        <v>12</v>
      </c>
      <c r="B12" s="0" t="n">
        <f aca="false">COUNTA('Clawback Candidates'!A:A)-1</f>
        <v>10</v>
      </c>
    </row>
    <row r="13" customFormat="false" ht="15" hidden="false" customHeight="false" outlineLevel="0" collapsed="false">
      <c r="A13" s="0" t="s">
        <v>13</v>
      </c>
      <c r="B13" s="0" t="n">
        <f aca="false">COUNTA('Log Corrections'!A:A)-1</f>
        <v>26</v>
      </c>
    </row>
    <row r="15" customFormat="false" ht="45" hidden="false" customHeight="true" outlineLevel="0" collapsed="false">
      <c r="A15" s="2" t="s">
        <v>14</v>
      </c>
      <c r="B15" s="2"/>
      <c r="C15" s="2"/>
      <c r="D15" s="2"/>
    </row>
    <row r="16" customFormat="false" ht="45" hidden="false" customHeight="true" outlineLevel="0" collapsed="false">
      <c r="A16" s="2" t="s">
        <v>15</v>
      </c>
      <c r="B16" s="2"/>
      <c r="C16" s="2"/>
      <c r="D16" s="2"/>
    </row>
    <row r="17" customFormat="false" ht="45" hidden="false" customHeight="true" outlineLevel="0" collapsed="false">
      <c r="A17" s="2" t="s">
        <v>16</v>
      </c>
      <c r="B17" s="2"/>
      <c r="C17" s="2"/>
      <c r="D17" s="2"/>
    </row>
  </sheetData>
  <mergeCells count="4">
    <mergeCell ref="A2:D2"/>
    <mergeCell ref="A15:D15"/>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6"/>
    <col collapsed="false" customWidth="true" hidden="false" outlineLevel="0" max="5" min="4" style="0" width="22"/>
    <col collapsed="false" customWidth="true" hidden="false" outlineLevel="0" max="6" min="6" style="0" width="18"/>
    <col collapsed="false" customWidth="true" hidden="false" outlineLevel="0" max="7" min="7" style="0" width="34"/>
    <col collapsed="false" customWidth="true" hidden="false" outlineLevel="0" max="8" min="8" style="0" width="14"/>
    <col collapsed="false" customWidth="true" hidden="false" outlineLevel="0" max="9" min="9" style="0" width="10"/>
    <col collapsed="false" customWidth="true" hidden="false" outlineLevel="0" max="10" min="10" style="0" width="45"/>
    <col collapsed="false" customWidth="true" hidden="false" outlineLevel="0" max="11" min="11" style="0" width="10"/>
    <col collapsed="false" customWidth="true" hidden="false" outlineLevel="0" max="12" min="12" style="0" width="26"/>
    <col collapsed="false" customWidth="true" hidden="false" outlineLevel="0" max="13" min="13" style="0" width="70"/>
    <col collapsed="false" customWidth="true" hidden="false" outlineLevel="0" max="14" min="14" style="0" width="45"/>
    <col collapsed="false" customWidth="true" hidden="false" outlineLevel="0" max="15" min="15" style="0" width="10"/>
  </cols>
  <sheetData>
    <row r="1" customFormat="false" ht="55.2" hidden="false" customHeight="false" outlineLevel="0" collapsed="false">
      <c r="A1" s="13" t="s">
        <v>17</v>
      </c>
      <c r="B1" s="13" t="s">
        <v>18</v>
      </c>
      <c r="C1" s="13" t="s">
        <v>19</v>
      </c>
      <c r="D1" s="13" t="s">
        <v>20</v>
      </c>
      <c r="E1" s="13" t="s">
        <v>21</v>
      </c>
      <c r="F1" s="13" t="s">
        <v>22</v>
      </c>
      <c r="G1" s="13" t="s">
        <v>23</v>
      </c>
      <c r="H1" s="13" t="s">
        <v>24</v>
      </c>
      <c r="I1" s="13" t="s">
        <v>25</v>
      </c>
      <c r="J1" s="13" t="s">
        <v>26</v>
      </c>
      <c r="K1" s="13" t="s">
        <v>27</v>
      </c>
      <c r="L1" s="13" t="s">
        <v>28</v>
      </c>
      <c r="M1" s="13" t="s">
        <v>29</v>
      </c>
      <c r="N1" s="13" t="s">
        <v>30</v>
      </c>
      <c r="O1" s="13" t="s">
        <v>31</v>
      </c>
    </row>
    <row r="2" customFormat="false" ht="68.65" hidden="false" customHeight="false" outlineLevel="0" collapsed="false">
      <c r="A2" s="14" t="n">
        <v>1</v>
      </c>
      <c r="B2" s="14" t="s">
        <v>32</v>
      </c>
      <c r="C2" s="14" t="s">
        <v>33</v>
      </c>
      <c r="D2" s="14" t="s">
        <v>34</v>
      </c>
      <c r="E2" s="14" t="s">
        <v>35</v>
      </c>
      <c r="F2" s="14"/>
      <c r="G2" s="14" t="s">
        <v>36</v>
      </c>
      <c r="H2" s="14" t="s">
        <v>37</v>
      </c>
      <c r="I2" s="14" t="s">
        <v>38</v>
      </c>
      <c r="J2" s="14" t="s">
        <v>39</v>
      </c>
      <c r="K2" s="14" t="s">
        <v>40</v>
      </c>
      <c r="L2" s="15" t="s">
        <v>9</v>
      </c>
      <c r="M2" s="14" t="s">
        <v>41</v>
      </c>
      <c r="N2" s="14" t="s">
        <v>42</v>
      </c>
      <c r="O2" s="14"/>
    </row>
    <row r="3" customFormat="false" ht="55.2" hidden="false" customHeight="false" outlineLevel="0" collapsed="false">
      <c r="A3" s="14" t="n">
        <v>2</v>
      </c>
      <c r="B3" s="14" t="s">
        <v>43</v>
      </c>
      <c r="C3" s="14" t="s">
        <v>44</v>
      </c>
      <c r="D3" s="14" t="s">
        <v>45</v>
      </c>
      <c r="E3" s="14" t="s">
        <v>34</v>
      </c>
      <c r="F3" s="14" t="s">
        <v>46</v>
      </c>
      <c r="G3" s="14" t="s">
        <v>47</v>
      </c>
      <c r="H3" s="14" t="s">
        <v>48</v>
      </c>
      <c r="I3" s="14" t="s">
        <v>49</v>
      </c>
      <c r="J3" s="14" t="s">
        <v>50</v>
      </c>
      <c r="K3" s="14" t="s">
        <v>40</v>
      </c>
      <c r="L3" s="15" t="s">
        <v>9</v>
      </c>
      <c r="M3" s="14" t="s">
        <v>51</v>
      </c>
      <c r="N3" s="14" t="s">
        <v>52</v>
      </c>
      <c r="O3" s="14"/>
    </row>
    <row r="4" customFormat="false" ht="55.2" hidden="false" customHeight="false" outlineLevel="0" collapsed="false">
      <c r="A4" s="14" t="n">
        <v>3</v>
      </c>
      <c r="B4" s="14" t="s">
        <v>53</v>
      </c>
      <c r="C4" s="14" t="s">
        <v>54</v>
      </c>
      <c r="D4" s="14" t="s">
        <v>34</v>
      </c>
      <c r="E4" s="14" t="s">
        <v>35</v>
      </c>
      <c r="F4" s="14"/>
      <c r="G4" s="14" t="s">
        <v>55</v>
      </c>
      <c r="H4" s="14" t="s">
        <v>37</v>
      </c>
      <c r="I4" s="14" t="s">
        <v>38</v>
      </c>
      <c r="J4" s="14" t="s">
        <v>56</v>
      </c>
      <c r="K4" s="14" t="s">
        <v>57</v>
      </c>
      <c r="L4" s="15" t="s">
        <v>9</v>
      </c>
      <c r="M4" s="14" t="s">
        <v>58</v>
      </c>
      <c r="N4" s="14" t="s">
        <v>42</v>
      </c>
      <c r="O4" s="14"/>
    </row>
    <row r="5" customFormat="false" ht="55.2" hidden="false" customHeight="false" outlineLevel="0" collapsed="false">
      <c r="A5" s="14" t="n">
        <v>4</v>
      </c>
      <c r="B5" s="14" t="s">
        <v>59</v>
      </c>
      <c r="C5" s="14" t="s">
        <v>60</v>
      </c>
      <c r="D5" s="14" t="s">
        <v>34</v>
      </c>
      <c r="E5" s="14" t="s">
        <v>61</v>
      </c>
      <c r="F5" s="14"/>
      <c r="G5" s="14" t="s">
        <v>62</v>
      </c>
      <c r="H5" s="14" t="s">
        <v>63</v>
      </c>
      <c r="I5" s="14" t="s">
        <v>38</v>
      </c>
      <c r="J5" s="14" t="s">
        <v>64</v>
      </c>
      <c r="K5" s="14" t="s">
        <v>40</v>
      </c>
      <c r="L5" s="15" t="s">
        <v>9</v>
      </c>
      <c r="M5" s="14" t="s">
        <v>41</v>
      </c>
      <c r="N5" s="14" t="s">
        <v>42</v>
      </c>
      <c r="O5" s="14"/>
    </row>
    <row r="6" customFormat="false" ht="55.2" hidden="false" customHeight="false" outlineLevel="0" collapsed="false">
      <c r="A6" s="14" t="n">
        <v>5</v>
      </c>
      <c r="B6" s="14" t="s">
        <v>65</v>
      </c>
      <c r="C6" s="14" t="s">
        <v>66</v>
      </c>
      <c r="D6" s="14" t="s">
        <v>34</v>
      </c>
      <c r="E6" s="14" t="s">
        <v>67</v>
      </c>
      <c r="F6" s="14"/>
      <c r="G6" s="14" t="s">
        <v>68</v>
      </c>
      <c r="H6" s="14" t="s">
        <v>37</v>
      </c>
      <c r="I6" s="14" t="s">
        <v>38</v>
      </c>
      <c r="J6" s="14" t="s">
        <v>69</v>
      </c>
      <c r="K6" s="14" t="s">
        <v>57</v>
      </c>
      <c r="L6" s="15" t="s">
        <v>9</v>
      </c>
      <c r="M6" s="14" t="s">
        <v>58</v>
      </c>
      <c r="N6" s="14" t="s">
        <v>42</v>
      </c>
      <c r="O6" s="14"/>
    </row>
    <row r="7" customFormat="false" ht="55.2" hidden="false" customHeight="false" outlineLevel="0" collapsed="false">
      <c r="A7" s="14" t="n">
        <v>6</v>
      </c>
      <c r="B7" s="14" t="s">
        <v>70</v>
      </c>
      <c r="C7" s="14" t="s">
        <v>71</v>
      </c>
      <c r="D7" s="14" t="s">
        <v>34</v>
      </c>
      <c r="E7" s="14" t="s">
        <v>35</v>
      </c>
      <c r="F7" s="14" t="s">
        <v>67</v>
      </c>
      <c r="G7" s="14" t="s">
        <v>72</v>
      </c>
      <c r="H7" s="14" t="s">
        <v>37</v>
      </c>
      <c r="I7" s="14" t="s">
        <v>38</v>
      </c>
      <c r="J7" s="14" t="s">
        <v>73</v>
      </c>
      <c r="K7" s="14" t="s">
        <v>40</v>
      </c>
      <c r="L7" s="15" t="s">
        <v>9</v>
      </c>
      <c r="M7" s="14" t="s">
        <v>41</v>
      </c>
      <c r="N7" s="14" t="s">
        <v>42</v>
      </c>
      <c r="O7" s="14"/>
    </row>
    <row r="8" customFormat="false" ht="68.65" hidden="false" customHeight="false" outlineLevel="0" collapsed="false">
      <c r="A8" s="14" t="n">
        <v>7</v>
      </c>
      <c r="B8" s="14" t="s">
        <v>74</v>
      </c>
      <c r="C8" s="14" t="s">
        <v>75</v>
      </c>
      <c r="D8" s="14" t="s">
        <v>45</v>
      </c>
      <c r="E8" s="14" t="s">
        <v>61</v>
      </c>
      <c r="F8" s="14"/>
      <c r="G8" s="14" t="s">
        <v>76</v>
      </c>
      <c r="H8" s="14" t="s">
        <v>37</v>
      </c>
      <c r="I8" s="14" t="s">
        <v>38</v>
      </c>
      <c r="J8" s="14" t="s">
        <v>77</v>
      </c>
      <c r="K8" s="14" t="s">
        <v>57</v>
      </c>
      <c r="L8" s="15" t="s">
        <v>9</v>
      </c>
      <c r="M8" s="14" t="s">
        <v>78</v>
      </c>
      <c r="N8" s="14" t="s">
        <v>79</v>
      </c>
      <c r="O8" s="14"/>
    </row>
    <row r="9" customFormat="false" ht="41.75" hidden="false" customHeight="false" outlineLevel="0" collapsed="false">
      <c r="A9" s="14" t="n">
        <v>8</v>
      </c>
      <c r="B9" s="14" t="s">
        <v>80</v>
      </c>
      <c r="C9" s="14" t="s">
        <v>81</v>
      </c>
      <c r="D9" s="14" t="s">
        <v>34</v>
      </c>
      <c r="E9" s="14" t="s">
        <v>35</v>
      </c>
      <c r="F9" s="14"/>
      <c r="G9" s="14" t="s">
        <v>82</v>
      </c>
      <c r="H9" s="14" t="s">
        <v>37</v>
      </c>
      <c r="I9" s="14" t="s">
        <v>38</v>
      </c>
      <c r="J9" s="14" t="s">
        <v>83</v>
      </c>
      <c r="K9" s="14" t="s">
        <v>40</v>
      </c>
      <c r="L9" s="15" t="s">
        <v>9</v>
      </c>
      <c r="M9" s="14" t="s">
        <v>41</v>
      </c>
      <c r="N9" s="14" t="s">
        <v>42</v>
      </c>
      <c r="O9" s="14"/>
    </row>
    <row r="10" customFormat="false" ht="41.75" hidden="false" customHeight="false" outlineLevel="0" collapsed="false">
      <c r="A10" s="14" t="n">
        <v>9</v>
      </c>
      <c r="B10" s="14" t="s">
        <v>84</v>
      </c>
      <c r="C10" s="14" t="s">
        <v>85</v>
      </c>
      <c r="D10" s="14" t="s">
        <v>34</v>
      </c>
      <c r="E10" s="14" t="s">
        <v>61</v>
      </c>
      <c r="F10" s="14"/>
      <c r="G10" s="14" t="s">
        <v>86</v>
      </c>
      <c r="H10" s="14" t="s">
        <v>63</v>
      </c>
      <c r="I10" s="14" t="s">
        <v>38</v>
      </c>
      <c r="J10" s="14" t="s">
        <v>87</v>
      </c>
      <c r="K10" s="14" t="s">
        <v>57</v>
      </c>
      <c r="L10" s="15" t="s">
        <v>9</v>
      </c>
      <c r="M10" s="14" t="s">
        <v>88</v>
      </c>
      <c r="N10" s="14" t="s">
        <v>89</v>
      </c>
      <c r="O10" s="14"/>
    </row>
    <row r="11" customFormat="false" ht="55.2" hidden="false" customHeight="false" outlineLevel="0" collapsed="false">
      <c r="A11" s="14" t="n">
        <v>10</v>
      </c>
      <c r="B11" s="14" t="s">
        <v>90</v>
      </c>
      <c r="C11" s="14" t="s">
        <v>91</v>
      </c>
      <c r="D11" s="14" t="s">
        <v>34</v>
      </c>
      <c r="E11" s="14" t="s">
        <v>35</v>
      </c>
      <c r="F11" s="14"/>
      <c r="G11" s="14" t="s">
        <v>92</v>
      </c>
      <c r="H11" s="14" t="s">
        <v>37</v>
      </c>
      <c r="I11" s="14" t="s">
        <v>38</v>
      </c>
      <c r="J11" s="14" t="s">
        <v>93</v>
      </c>
      <c r="K11" s="14" t="s">
        <v>40</v>
      </c>
      <c r="L11" s="15" t="s">
        <v>9</v>
      </c>
      <c r="M11" s="14" t="s">
        <v>41</v>
      </c>
      <c r="N11" s="14" t="s">
        <v>42</v>
      </c>
      <c r="O11" s="14"/>
    </row>
    <row r="12" customFormat="false" ht="41.75" hidden="false" customHeight="false" outlineLevel="0" collapsed="false">
      <c r="A12" s="14" t="n">
        <v>11</v>
      </c>
      <c r="B12" s="14" t="s">
        <v>94</v>
      </c>
      <c r="C12" s="14" t="s">
        <v>95</v>
      </c>
      <c r="D12" s="14" t="s">
        <v>45</v>
      </c>
      <c r="E12" s="14" t="s">
        <v>61</v>
      </c>
      <c r="F12" s="14"/>
      <c r="G12" s="14" t="s">
        <v>96</v>
      </c>
      <c r="H12" s="14" t="s">
        <v>48</v>
      </c>
      <c r="I12" s="14" t="s">
        <v>38</v>
      </c>
      <c r="J12" s="14" t="s">
        <v>97</v>
      </c>
      <c r="K12" s="14" t="s">
        <v>57</v>
      </c>
      <c r="L12" s="15" t="s">
        <v>9</v>
      </c>
      <c r="M12" s="14" t="s">
        <v>98</v>
      </c>
      <c r="N12" s="14" t="s">
        <v>99</v>
      </c>
      <c r="O12" s="14"/>
    </row>
    <row r="13" customFormat="false" ht="55.2" hidden="false" customHeight="false" outlineLevel="0" collapsed="false">
      <c r="A13" s="14" t="n">
        <v>12</v>
      </c>
      <c r="B13" s="14" t="s">
        <v>100</v>
      </c>
      <c r="C13" s="14" t="s">
        <v>101</v>
      </c>
      <c r="D13" s="14" t="s">
        <v>34</v>
      </c>
      <c r="E13" s="14" t="s">
        <v>67</v>
      </c>
      <c r="F13" s="14" t="s">
        <v>35</v>
      </c>
      <c r="G13" s="14" t="s">
        <v>102</v>
      </c>
      <c r="H13" s="14" t="s">
        <v>37</v>
      </c>
      <c r="I13" s="14" t="s">
        <v>38</v>
      </c>
      <c r="J13" s="14" t="s">
        <v>103</v>
      </c>
      <c r="K13" s="14" t="s">
        <v>40</v>
      </c>
      <c r="L13" s="16" t="s">
        <v>6</v>
      </c>
      <c r="M13" s="14" t="s">
        <v>104</v>
      </c>
      <c r="N13" s="14" t="s">
        <v>105</v>
      </c>
      <c r="O13" s="14"/>
    </row>
    <row r="14" customFormat="false" ht="55.2" hidden="false" customHeight="false" outlineLevel="0" collapsed="false">
      <c r="A14" s="14" t="n">
        <v>13</v>
      </c>
      <c r="B14" s="14" t="s">
        <v>106</v>
      </c>
      <c r="C14" s="14" t="s">
        <v>107</v>
      </c>
      <c r="D14" s="14" t="s">
        <v>34</v>
      </c>
      <c r="E14" s="14" t="s">
        <v>35</v>
      </c>
      <c r="F14" s="14"/>
      <c r="G14" s="14" t="s">
        <v>108</v>
      </c>
      <c r="H14" s="14" t="s">
        <v>37</v>
      </c>
      <c r="I14" s="14" t="s">
        <v>38</v>
      </c>
      <c r="J14" s="14" t="s">
        <v>109</v>
      </c>
      <c r="K14" s="14" t="s">
        <v>40</v>
      </c>
      <c r="L14" s="16" t="s">
        <v>6</v>
      </c>
      <c r="M14" s="14" t="s">
        <v>104</v>
      </c>
      <c r="N14" s="14" t="s">
        <v>105</v>
      </c>
      <c r="O14" s="14"/>
    </row>
    <row r="15" customFormat="false" ht="55.2" hidden="false" customHeight="false" outlineLevel="0" collapsed="false">
      <c r="A15" s="14" t="n">
        <v>14</v>
      </c>
      <c r="B15" s="14" t="s">
        <v>110</v>
      </c>
      <c r="C15" s="14" t="s">
        <v>111</v>
      </c>
      <c r="D15" s="14" t="s">
        <v>34</v>
      </c>
      <c r="E15" s="14" t="s">
        <v>61</v>
      </c>
      <c r="F15" s="14"/>
      <c r="G15" s="14" t="s">
        <v>112</v>
      </c>
      <c r="H15" s="14" t="s">
        <v>63</v>
      </c>
      <c r="I15" s="14" t="s">
        <v>38</v>
      </c>
      <c r="J15" s="14" t="s">
        <v>113</v>
      </c>
      <c r="K15" s="14" t="s">
        <v>40</v>
      </c>
      <c r="L15" s="16" t="s">
        <v>6</v>
      </c>
      <c r="M15" s="14" t="s">
        <v>104</v>
      </c>
      <c r="N15" s="14" t="s">
        <v>105</v>
      </c>
      <c r="O15" s="14"/>
    </row>
    <row r="16" customFormat="false" ht="55.2" hidden="false" customHeight="false" outlineLevel="0" collapsed="false">
      <c r="A16" s="14" t="n">
        <v>15</v>
      </c>
      <c r="B16" s="14" t="s">
        <v>114</v>
      </c>
      <c r="C16" s="14" t="s">
        <v>115</v>
      </c>
      <c r="D16" s="14" t="s">
        <v>34</v>
      </c>
      <c r="E16" s="14" t="s">
        <v>35</v>
      </c>
      <c r="F16" s="14" t="s">
        <v>67</v>
      </c>
      <c r="G16" s="14" t="s">
        <v>116</v>
      </c>
      <c r="H16" s="14" t="s">
        <v>48</v>
      </c>
      <c r="I16" s="14" t="s">
        <v>38</v>
      </c>
      <c r="J16" s="14" t="s">
        <v>117</v>
      </c>
      <c r="K16" s="14" t="s">
        <v>40</v>
      </c>
      <c r="L16" s="16" t="s">
        <v>6</v>
      </c>
      <c r="M16" s="14" t="s">
        <v>104</v>
      </c>
      <c r="N16" s="14" t="s">
        <v>105</v>
      </c>
      <c r="O16" s="14"/>
    </row>
    <row r="17" customFormat="false" ht="55.2" hidden="false" customHeight="false" outlineLevel="0" collapsed="false">
      <c r="A17" s="14" t="n">
        <v>16</v>
      </c>
      <c r="B17" s="14" t="s">
        <v>118</v>
      </c>
      <c r="C17" s="14" t="s">
        <v>119</v>
      </c>
      <c r="D17" s="14" t="s">
        <v>34</v>
      </c>
      <c r="E17" s="14" t="s">
        <v>35</v>
      </c>
      <c r="F17" s="14"/>
      <c r="G17" s="14" t="s">
        <v>120</v>
      </c>
      <c r="H17" s="14" t="s">
        <v>37</v>
      </c>
      <c r="I17" s="14" t="s">
        <v>38</v>
      </c>
      <c r="J17" s="14" t="s">
        <v>121</v>
      </c>
      <c r="K17" s="14" t="s">
        <v>40</v>
      </c>
      <c r="L17" s="16" t="s">
        <v>6</v>
      </c>
      <c r="M17" s="14" t="s">
        <v>104</v>
      </c>
      <c r="N17" s="14" t="s">
        <v>105</v>
      </c>
      <c r="O17" s="14"/>
    </row>
    <row r="18" customFormat="false" ht="55.2" hidden="false" customHeight="false" outlineLevel="0" collapsed="false">
      <c r="A18" s="14" t="n">
        <v>17</v>
      </c>
      <c r="B18" s="14" t="s">
        <v>122</v>
      </c>
      <c r="C18" s="14" t="s">
        <v>123</v>
      </c>
      <c r="D18" s="14" t="s">
        <v>34</v>
      </c>
      <c r="E18" s="14" t="s">
        <v>67</v>
      </c>
      <c r="F18" s="14"/>
      <c r="G18" s="14" t="s">
        <v>124</v>
      </c>
      <c r="H18" s="14" t="s">
        <v>37</v>
      </c>
      <c r="I18" s="14" t="s">
        <v>38</v>
      </c>
      <c r="J18" s="14" t="s">
        <v>125</v>
      </c>
      <c r="K18" s="14" t="s">
        <v>40</v>
      </c>
      <c r="L18" s="16" t="s">
        <v>6</v>
      </c>
      <c r="M18" s="14" t="s">
        <v>104</v>
      </c>
      <c r="N18" s="14" t="s">
        <v>105</v>
      </c>
      <c r="O18" s="14"/>
    </row>
    <row r="19" customFormat="false" ht="55.2" hidden="false" customHeight="false" outlineLevel="0" collapsed="false">
      <c r="A19" s="14" t="n">
        <v>18</v>
      </c>
      <c r="B19" s="14" t="s">
        <v>126</v>
      </c>
      <c r="C19" s="14" t="s">
        <v>127</v>
      </c>
      <c r="D19" s="14" t="s">
        <v>34</v>
      </c>
      <c r="E19" s="14" t="s">
        <v>61</v>
      </c>
      <c r="F19" s="14" t="s">
        <v>35</v>
      </c>
      <c r="G19" s="14" t="s">
        <v>128</v>
      </c>
      <c r="H19" s="14" t="s">
        <v>63</v>
      </c>
      <c r="I19" s="14" t="s">
        <v>38</v>
      </c>
      <c r="J19" s="14" t="s">
        <v>129</v>
      </c>
      <c r="K19" s="14" t="s">
        <v>40</v>
      </c>
      <c r="L19" s="16" t="s">
        <v>6</v>
      </c>
      <c r="M19" s="14" t="s">
        <v>104</v>
      </c>
      <c r="N19" s="14" t="s">
        <v>105</v>
      </c>
      <c r="O19" s="14"/>
    </row>
    <row r="20" customFormat="false" ht="41.75" hidden="false" customHeight="false" outlineLevel="0" collapsed="false">
      <c r="A20" s="14" t="n">
        <v>19</v>
      </c>
      <c r="B20" s="14" t="s">
        <v>130</v>
      </c>
      <c r="C20" s="14" t="s">
        <v>131</v>
      </c>
      <c r="D20" s="14" t="s">
        <v>34</v>
      </c>
      <c r="E20" s="14" t="s">
        <v>35</v>
      </c>
      <c r="F20" s="14"/>
      <c r="G20" s="14" t="s">
        <v>132</v>
      </c>
      <c r="H20" s="14" t="s">
        <v>37</v>
      </c>
      <c r="I20" s="14" t="s">
        <v>38</v>
      </c>
      <c r="J20" s="14" t="s">
        <v>133</v>
      </c>
      <c r="K20" s="14" t="s">
        <v>40</v>
      </c>
      <c r="L20" s="16" t="s">
        <v>6</v>
      </c>
      <c r="M20" s="14" t="s">
        <v>104</v>
      </c>
      <c r="N20" s="14" t="s">
        <v>105</v>
      </c>
      <c r="O20" s="14"/>
    </row>
    <row r="21" customFormat="false" ht="41.75" hidden="false" customHeight="false" outlineLevel="0" collapsed="false">
      <c r="A21" s="14" t="n">
        <v>20</v>
      </c>
      <c r="B21" s="14" t="s">
        <v>134</v>
      </c>
      <c r="C21" s="14" t="s">
        <v>135</v>
      </c>
      <c r="D21" s="14" t="s">
        <v>45</v>
      </c>
      <c r="E21" s="14" t="s">
        <v>34</v>
      </c>
      <c r="F21" s="14"/>
      <c r="G21" s="14" t="s">
        <v>136</v>
      </c>
      <c r="H21" s="14" t="s">
        <v>48</v>
      </c>
      <c r="I21" s="14" t="s">
        <v>38</v>
      </c>
      <c r="J21" s="14" t="s">
        <v>137</v>
      </c>
      <c r="K21" s="14" t="s">
        <v>40</v>
      </c>
      <c r="L21" s="16" t="s">
        <v>6</v>
      </c>
      <c r="M21" s="14" t="s">
        <v>138</v>
      </c>
      <c r="N21" s="14" t="s">
        <v>139</v>
      </c>
      <c r="O21" s="14"/>
    </row>
    <row r="22" customFormat="false" ht="55.2" hidden="false" customHeight="false" outlineLevel="0" collapsed="false">
      <c r="A22" s="14" t="n">
        <v>21</v>
      </c>
      <c r="B22" s="14" t="s">
        <v>140</v>
      </c>
      <c r="C22" s="14" t="s">
        <v>141</v>
      </c>
      <c r="D22" s="14" t="s">
        <v>34</v>
      </c>
      <c r="E22" s="14" t="s">
        <v>45</v>
      </c>
      <c r="F22" s="14"/>
      <c r="G22" s="14" t="s">
        <v>142</v>
      </c>
      <c r="H22" s="14" t="s">
        <v>37</v>
      </c>
      <c r="I22" s="14" t="s">
        <v>38</v>
      </c>
      <c r="J22" s="14" t="s">
        <v>143</v>
      </c>
      <c r="K22" s="14" t="s">
        <v>40</v>
      </c>
      <c r="L22" s="16" t="s">
        <v>6</v>
      </c>
      <c r="M22" s="14" t="s">
        <v>104</v>
      </c>
      <c r="N22" s="14" t="s">
        <v>105</v>
      </c>
      <c r="O22" s="14"/>
    </row>
    <row r="23" customFormat="false" ht="55.2" hidden="false" customHeight="false" outlineLevel="0" collapsed="false">
      <c r="A23" s="14" t="n">
        <v>22</v>
      </c>
      <c r="B23" s="14" t="s">
        <v>144</v>
      </c>
      <c r="C23" s="14" t="s">
        <v>145</v>
      </c>
      <c r="D23" s="14" t="s">
        <v>45</v>
      </c>
      <c r="E23" s="14" t="s">
        <v>34</v>
      </c>
      <c r="F23" s="14" t="s">
        <v>46</v>
      </c>
      <c r="G23" s="14" t="s">
        <v>146</v>
      </c>
      <c r="H23" s="14" t="s">
        <v>63</v>
      </c>
      <c r="I23" s="14" t="s">
        <v>49</v>
      </c>
      <c r="J23" s="14" t="s">
        <v>147</v>
      </c>
      <c r="K23" s="14" t="s">
        <v>40</v>
      </c>
      <c r="L23" s="16" t="s">
        <v>6</v>
      </c>
      <c r="M23" s="14" t="s">
        <v>104</v>
      </c>
      <c r="N23" s="14" t="s">
        <v>105</v>
      </c>
      <c r="O23" s="14"/>
    </row>
    <row r="24" customFormat="false" ht="55.2" hidden="false" customHeight="false" outlineLevel="0" collapsed="false">
      <c r="A24" s="14" t="n">
        <v>23</v>
      </c>
      <c r="B24" s="14" t="s">
        <v>148</v>
      </c>
      <c r="C24" s="14" t="s">
        <v>149</v>
      </c>
      <c r="D24" s="14" t="s">
        <v>34</v>
      </c>
      <c r="E24" s="14" t="s">
        <v>61</v>
      </c>
      <c r="F24" s="14"/>
      <c r="G24" s="14" t="s">
        <v>150</v>
      </c>
      <c r="H24" s="14" t="s">
        <v>63</v>
      </c>
      <c r="I24" s="14" t="s">
        <v>38</v>
      </c>
      <c r="J24" s="14" t="s">
        <v>151</v>
      </c>
      <c r="K24" s="14" t="s">
        <v>40</v>
      </c>
      <c r="L24" s="16" t="s">
        <v>6</v>
      </c>
      <c r="M24" s="14" t="s">
        <v>104</v>
      </c>
      <c r="N24" s="14" t="s">
        <v>105</v>
      </c>
      <c r="O24" s="14"/>
    </row>
    <row r="25" customFormat="false" ht="28.35" hidden="false" customHeight="false" outlineLevel="0" collapsed="false">
      <c r="A25" s="14" t="n">
        <v>24</v>
      </c>
      <c r="B25" s="14" t="s">
        <v>152</v>
      </c>
      <c r="C25" s="14" t="s">
        <v>153</v>
      </c>
      <c r="D25" s="14" t="s">
        <v>35</v>
      </c>
      <c r="E25" s="14" t="s">
        <v>67</v>
      </c>
      <c r="F25" s="14"/>
      <c r="G25" s="14" t="s">
        <v>154</v>
      </c>
      <c r="H25" s="14" t="s">
        <v>37</v>
      </c>
      <c r="I25" s="14" t="s">
        <v>38</v>
      </c>
      <c r="J25" s="14" t="s">
        <v>155</v>
      </c>
      <c r="K25" s="14" t="s">
        <v>57</v>
      </c>
      <c r="L25" s="15" t="s">
        <v>9</v>
      </c>
      <c r="M25" s="14" t="s">
        <v>156</v>
      </c>
      <c r="N25" s="14" t="s">
        <v>157</v>
      </c>
      <c r="O25" s="14"/>
    </row>
    <row r="26" customFormat="false" ht="68.65" hidden="false" customHeight="false" outlineLevel="0" collapsed="false">
      <c r="A26" s="14" t="n">
        <v>25</v>
      </c>
      <c r="B26" s="14" t="s">
        <v>158</v>
      </c>
      <c r="C26" s="14" t="s">
        <v>159</v>
      </c>
      <c r="D26" s="14" t="s">
        <v>34</v>
      </c>
      <c r="E26" s="14" t="s">
        <v>35</v>
      </c>
      <c r="F26" s="14"/>
      <c r="G26" s="14" t="s">
        <v>160</v>
      </c>
      <c r="H26" s="14" t="s">
        <v>37</v>
      </c>
      <c r="I26" s="14" t="s">
        <v>38</v>
      </c>
      <c r="J26" s="14" t="s">
        <v>161</v>
      </c>
      <c r="K26" s="14" t="s">
        <v>57</v>
      </c>
      <c r="L26" s="17" t="s">
        <v>7</v>
      </c>
      <c r="M26" s="14" t="s">
        <v>162</v>
      </c>
      <c r="N26" s="14" t="s">
        <v>163</v>
      </c>
      <c r="O26" s="14"/>
    </row>
    <row r="27" customFormat="false" ht="55.2" hidden="false" customHeight="false" outlineLevel="0" collapsed="false">
      <c r="A27" s="14" t="n">
        <v>26</v>
      </c>
      <c r="B27" s="14" t="s">
        <v>164</v>
      </c>
      <c r="C27" s="14" t="s">
        <v>165</v>
      </c>
      <c r="D27" s="14" t="s">
        <v>45</v>
      </c>
      <c r="E27" s="14" t="s">
        <v>34</v>
      </c>
      <c r="F27" s="14"/>
      <c r="G27" s="14" t="s">
        <v>166</v>
      </c>
      <c r="H27" s="14" t="s">
        <v>37</v>
      </c>
      <c r="I27" s="14" t="s">
        <v>38</v>
      </c>
      <c r="J27" s="14" t="s">
        <v>167</v>
      </c>
      <c r="K27" s="14" t="s">
        <v>40</v>
      </c>
      <c r="L27" s="16" t="s">
        <v>6</v>
      </c>
      <c r="M27" s="14" t="s">
        <v>104</v>
      </c>
      <c r="N27" s="14" t="s">
        <v>105</v>
      </c>
      <c r="O27" s="14"/>
    </row>
    <row r="28" customFormat="false" ht="55.2" hidden="false" customHeight="false" outlineLevel="0" collapsed="false">
      <c r="A28" s="14" t="n">
        <v>27</v>
      </c>
      <c r="B28" s="14" t="s">
        <v>168</v>
      </c>
      <c r="C28" s="14" t="s">
        <v>169</v>
      </c>
      <c r="D28" s="14" t="s">
        <v>34</v>
      </c>
      <c r="E28" s="14" t="s">
        <v>45</v>
      </c>
      <c r="F28" s="14"/>
      <c r="G28" s="14" t="s">
        <v>170</v>
      </c>
      <c r="H28" s="14" t="s">
        <v>48</v>
      </c>
      <c r="I28" s="14" t="s">
        <v>38</v>
      </c>
      <c r="J28" s="14" t="s">
        <v>171</v>
      </c>
      <c r="K28" s="14" t="s">
        <v>40</v>
      </c>
      <c r="L28" s="16" t="s">
        <v>6</v>
      </c>
      <c r="M28" s="14" t="s">
        <v>104</v>
      </c>
      <c r="N28" s="14" t="s">
        <v>105</v>
      </c>
      <c r="O28" s="14"/>
    </row>
    <row r="29" customFormat="false" ht="41.75" hidden="false" customHeight="false" outlineLevel="0" collapsed="false">
      <c r="A29" s="14" t="n">
        <v>28</v>
      </c>
      <c r="B29" s="14" t="s">
        <v>172</v>
      </c>
      <c r="C29" s="14" t="s">
        <v>173</v>
      </c>
      <c r="D29" s="14" t="s">
        <v>46</v>
      </c>
      <c r="E29" s="14" t="s">
        <v>45</v>
      </c>
      <c r="F29" s="14"/>
      <c r="G29" s="14" t="s">
        <v>174</v>
      </c>
      <c r="H29" s="14" t="s">
        <v>175</v>
      </c>
      <c r="I29" s="14" t="s">
        <v>176</v>
      </c>
      <c r="J29" s="14" t="s">
        <v>177</v>
      </c>
      <c r="K29" s="14" t="s">
        <v>40</v>
      </c>
      <c r="L29" s="16" t="s">
        <v>6</v>
      </c>
      <c r="M29" s="14" t="s">
        <v>104</v>
      </c>
      <c r="N29" s="14" t="s">
        <v>105</v>
      </c>
      <c r="O29" s="14"/>
    </row>
    <row r="30" customFormat="false" ht="55.2" hidden="false" customHeight="false" outlineLevel="0" collapsed="false">
      <c r="A30" s="14" t="n">
        <v>29</v>
      </c>
      <c r="B30" s="14" t="s">
        <v>178</v>
      </c>
      <c r="C30" s="14" t="s">
        <v>179</v>
      </c>
      <c r="D30" s="14" t="s">
        <v>45</v>
      </c>
      <c r="E30" s="14" t="s">
        <v>34</v>
      </c>
      <c r="F30" s="14" t="s">
        <v>46</v>
      </c>
      <c r="G30" s="14" t="s">
        <v>180</v>
      </c>
      <c r="H30" s="14" t="s">
        <v>63</v>
      </c>
      <c r="I30" s="14" t="s">
        <v>49</v>
      </c>
      <c r="J30" s="14" t="s">
        <v>181</v>
      </c>
      <c r="K30" s="14" t="s">
        <v>40</v>
      </c>
      <c r="L30" s="16" t="s">
        <v>6</v>
      </c>
      <c r="M30" s="14" t="s">
        <v>104</v>
      </c>
      <c r="N30" s="14" t="s">
        <v>105</v>
      </c>
      <c r="O30" s="14"/>
    </row>
    <row r="31" customFormat="false" ht="55.2" hidden="false" customHeight="false" outlineLevel="0" collapsed="false">
      <c r="A31" s="14" t="n">
        <v>30</v>
      </c>
      <c r="B31" s="14" t="s">
        <v>182</v>
      </c>
      <c r="C31" s="14" t="s">
        <v>183</v>
      </c>
      <c r="D31" s="14" t="s">
        <v>34</v>
      </c>
      <c r="E31" s="14" t="s">
        <v>61</v>
      </c>
      <c r="F31" s="14"/>
      <c r="G31" s="14" t="s">
        <v>184</v>
      </c>
      <c r="H31" s="14" t="s">
        <v>37</v>
      </c>
      <c r="I31" s="14" t="s">
        <v>38</v>
      </c>
      <c r="J31" s="14" t="s">
        <v>185</v>
      </c>
      <c r="K31" s="14" t="s">
        <v>40</v>
      </c>
      <c r="L31" s="16" t="s">
        <v>6</v>
      </c>
      <c r="M31" s="14" t="s">
        <v>104</v>
      </c>
      <c r="N31" s="14" t="s">
        <v>105</v>
      </c>
      <c r="O31" s="14"/>
    </row>
    <row r="32" customFormat="false" ht="41.75" hidden="false" customHeight="false" outlineLevel="0" collapsed="false">
      <c r="A32" s="14" t="n">
        <v>31</v>
      </c>
      <c r="B32" s="14" t="s">
        <v>186</v>
      </c>
      <c r="C32" s="14" t="s">
        <v>187</v>
      </c>
      <c r="D32" s="14" t="s">
        <v>188</v>
      </c>
      <c r="E32" s="14" t="s">
        <v>35</v>
      </c>
      <c r="F32" s="14"/>
      <c r="G32" s="14" t="s">
        <v>189</v>
      </c>
      <c r="H32" s="14" t="s">
        <v>37</v>
      </c>
      <c r="I32" s="14" t="s">
        <v>38</v>
      </c>
      <c r="J32" s="14" t="s">
        <v>190</v>
      </c>
      <c r="K32" s="14" t="s">
        <v>57</v>
      </c>
      <c r="L32" s="15" t="s">
        <v>9</v>
      </c>
      <c r="M32" s="14" t="s">
        <v>191</v>
      </c>
      <c r="N32" s="14" t="s">
        <v>192</v>
      </c>
      <c r="O32" s="14"/>
    </row>
    <row r="33" customFormat="false" ht="55.2" hidden="false" customHeight="false" outlineLevel="0" collapsed="false">
      <c r="A33" s="14" t="n">
        <v>32</v>
      </c>
      <c r="B33" s="14" t="s">
        <v>193</v>
      </c>
      <c r="C33" s="14" t="s">
        <v>194</v>
      </c>
      <c r="D33" s="14" t="s">
        <v>45</v>
      </c>
      <c r="E33" s="14" t="s">
        <v>34</v>
      </c>
      <c r="F33" s="14"/>
      <c r="G33" s="14" t="s">
        <v>195</v>
      </c>
      <c r="H33" s="14" t="s">
        <v>48</v>
      </c>
      <c r="I33" s="14" t="s">
        <v>38</v>
      </c>
      <c r="J33" s="14" t="s">
        <v>196</v>
      </c>
      <c r="K33" s="14" t="s">
        <v>40</v>
      </c>
      <c r="L33" s="16" t="s">
        <v>6</v>
      </c>
      <c r="M33" s="14" t="s">
        <v>104</v>
      </c>
      <c r="N33" s="14" t="s">
        <v>105</v>
      </c>
      <c r="O33" s="14"/>
    </row>
    <row r="34" customFormat="false" ht="68.65" hidden="false" customHeight="false" outlineLevel="0" collapsed="false">
      <c r="A34" s="14" t="n">
        <v>33</v>
      </c>
      <c r="B34" s="14" t="s">
        <v>197</v>
      </c>
      <c r="C34" s="14" t="s">
        <v>198</v>
      </c>
      <c r="D34" s="14" t="s">
        <v>199</v>
      </c>
      <c r="E34" s="14" t="s">
        <v>35</v>
      </c>
      <c r="F34" s="14" t="s">
        <v>67</v>
      </c>
      <c r="G34" s="14" t="s">
        <v>200</v>
      </c>
      <c r="H34" s="14" t="s">
        <v>201</v>
      </c>
      <c r="I34" s="14" t="s">
        <v>176</v>
      </c>
      <c r="J34" s="14" t="s">
        <v>202</v>
      </c>
      <c r="K34" s="14" t="s">
        <v>57</v>
      </c>
      <c r="L34" s="15" t="s">
        <v>9</v>
      </c>
      <c r="M34" s="14" t="s">
        <v>203</v>
      </c>
      <c r="N34" s="14" t="s">
        <v>204</v>
      </c>
      <c r="O34" s="14"/>
    </row>
    <row r="35" customFormat="false" ht="41.75" hidden="false" customHeight="false" outlineLevel="0" collapsed="false">
      <c r="A35" s="14" t="n">
        <v>34</v>
      </c>
      <c r="B35" s="14" t="s">
        <v>205</v>
      </c>
      <c r="C35" s="14" t="s">
        <v>206</v>
      </c>
      <c r="D35" s="14" t="s">
        <v>46</v>
      </c>
      <c r="E35" s="14" t="s">
        <v>45</v>
      </c>
      <c r="F35" s="14"/>
      <c r="G35" s="14" t="s">
        <v>207</v>
      </c>
      <c r="H35" s="14" t="s">
        <v>175</v>
      </c>
      <c r="I35" s="14" t="s">
        <v>176</v>
      </c>
      <c r="J35" s="14" t="s">
        <v>208</v>
      </c>
      <c r="K35" s="14" t="s">
        <v>40</v>
      </c>
      <c r="L35" s="16" t="s">
        <v>6</v>
      </c>
      <c r="M35" s="14" t="s">
        <v>104</v>
      </c>
      <c r="N35" s="14" t="s">
        <v>105</v>
      </c>
      <c r="O35" s="14"/>
    </row>
    <row r="36" customFormat="false" ht="55.2" hidden="false" customHeight="false" outlineLevel="0" collapsed="false">
      <c r="A36" s="14" t="n">
        <v>35</v>
      </c>
      <c r="B36" s="14" t="s">
        <v>209</v>
      </c>
      <c r="C36" s="14" t="s">
        <v>210</v>
      </c>
      <c r="D36" s="14" t="s">
        <v>34</v>
      </c>
      <c r="E36" s="14" t="s">
        <v>35</v>
      </c>
      <c r="F36" s="14"/>
      <c r="G36" s="14" t="s">
        <v>211</v>
      </c>
      <c r="H36" s="14" t="s">
        <v>37</v>
      </c>
      <c r="I36" s="14" t="s">
        <v>38</v>
      </c>
      <c r="J36" s="14" t="s">
        <v>212</v>
      </c>
      <c r="K36" s="14" t="s">
        <v>40</v>
      </c>
      <c r="L36" s="16" t="s">
        <v>6</v>
      </c>
      <c r="M36" s="14" t="s">
        <v>104</v>
      </c>
      <c r="N36" s="14" t="s">
        <v>105</v>
      </c>
      <c r="O36" s="14"/>
    </row>
    <row r="37" customFormat="false" ht="55.2" hidden="false" customHeight="false" outlineLevel="0" collapsed="false">
      <c r="A37" s="14" t="n">
        <v>36</v>
      </c>
      <c r="B37" s="14" t="s">
        <v>213</v>
      </c>
      <c r="C37" s="14" t="s">
        <v>214</v>
      </c>
      <c r="D37" s="14" t="s">
        <v>45</v>
      </c>
      <c r="E37" s="14" t="s">
        <v>34</v>
      </c>
      <c r="F37" s="14"/>
      <c r="G37" s="14" t="s">
        <v>215</v>
      </c>
      <c r="H37" s="14" t="s">
        <v>37</v>
      </c>
      <c r="I37" s="14" t="s">
        <v>38</v>
      </c>
      <c r="J37" s="14" t="s">
        <v>216</v>
      </c>
      <c r="K37" s="14" t="s">
        <v>40</v>
      </c>
      <c r="L37" s="16" t="s">
        <v>6</v>
      </c>
      <c r="M37" s="14" t="s">
        <v>104</v>
      </c>
      <c r="N37" s="14" t="s">
        <v>105</v>
      </c>
      <c r="O37" s="14"/>
    </row>
    <row r="38" customFormat="false" ht="68.65" hidden="false" customHeight="false" outlineLevel="0" collapsed="false">
      <c r="A38" s="14" t="n">
        <v>37</v>
      </c>
      <c r="B38" s="14" t="s">
        <v>217</v>
      </c>
      <c r="C38" s="14" t="s">
        <v>218</v>
      </c>
      <c r="D38" s="14" t="s">
        <v>219</v>
      </c>
      <c r="E38" s="14" t="s">
        <v>67</v>
      </c>
      <c r="F38" s="14"/>
      <c r="G38" s="14" t="s">
        <v>220</v>
      </c>
      <c r="H38" s="14" t="s">
        <v>37</v>
      </c>
      <c r="I38" s="14" t="s">
        <v>38</v>
      </c>
      <c r="J38" s="14" t="s">
        <v>221</v>
      </c>
      <c r="K38" s="14" t="s">
        <v>57</v>
      </c>
      <c r="L38" s="16" t="s">
        <v>6</v>
      </c>
      <c r="M38" s="14" t="s">
        <v>222</v>
      </c>
      <c r="N38" s="14" t="s">
        <v>223</v>
      </c>
      <c r="O38" s="14"/>
    </row>
    <row r="39" customFormat="false" ht="68.65" hidden="false" customHeight="false" outlineLevel="0" collapsed="false">
      <c r="A39" s="14" t="n">
        <v>38</v>
      </c>
      <c r="B39" s="14" t="s">
        <v>224</v>
      </c>
      <c r="C39" s="14" t="s">
        <v>225</v>
      </c>
      <c r="D39" s="14" t="s">
        <v>34</v>
      </c>
      <c r="E39" s="14" t="s">
        <v>61</v>
      </c>
      <c r="F39" s="14" t="s">
        <v>219</v>
      </c>
      <c r="G39" s="14" t="s">
        <v>226</v>
      </c>
      <c r="H39" s="14" t="s">
        <v>48</v>
      </c>
      <c r="I39" s="14" t="s">
        <v>38</v>
      </c>
      <c r="J39" s="14" t="s">
        <v>227</v>
      </c>
      <c r="K39" s="14" t="s">
        <v>40</v>
      </c>
      <c r="L39" s="16" t="s">
        <v>6</v>
      </c>
      <c r="M39" s="14" t="s">
        <v>104</v>
      </c>
      <c r="N39" s="14" t="s">
        <v>105</v>
      </c>
      <c r="O39" s="14"/>
    </row>
    <row r="40" customFormat="false" ht="55.2" hidden="false" customHeight="false" outlineLevel="0" collapsed="false">
      <c r="A40" s="14" t="n">
        <v>39</v>
      </c>
      <c r="B40" s="14" t="s">
        <v>228</v>
      </c>
      <c r="C40" s="14" t="s">
        <v>229</v>
      </c>
      <c r="D40" s="14" t="s">
        <v>45</v>
      </c>
      <c r="E40" s="14" t="s">
        <v>34</v>
      </c>
      <c r="F40" s="14" t="s">
        <v>46</v>
      </c>
      <c r="G40" s="14" t="s">
        <v>230</v>
      </c>
      <c r="H40" s="14" t="s">
        <v>63</v>
      </c>
      <c r="I40" s="14" t="s">
        <v>49</v>
      </c>
      <c r="J40" s="14" t="s">
        <v>231</v>
      </c>
      <c r="K40" s="14" t="s">
        <v>40</v>
      </c>
      <c r="L40" s="16" t="s">
        <v>6</v>
      </c>
      <c r="M40" s="14" t="s">
        <v>104</v>
      </c>
      <c r="N40" s="14" t="s">
        <v>105</v>
      </c>
      <c r="O40" s="14"/>
    </row>
    <row r="41" customFormat="false" ht="55.2" hidden="false" customHeight="false" outlineLevel="0" collapsed="false">
      <c r="A41" s="14" t="n">
        <v>40</v>
      </c>
      <c r="B41" s="14" t="s">
        <v>232</v>
      </c>
      <c r="C41" s="14" t="s">
        <v>233</v>
      </c>
      <c r="D41" s="14" t="s">
        <v>34</v>
      </c>
      <c r="E41" s="14" t="s">
        <v>45</v>
      </c>
      <c r="F41" s="14"/>
      <c r="G41" s="14" t="s">
        <v>234</v>
      </c>
      <c r="H41" s="14" t="s">
        <v>37</v>
      </c>
      <c r="I41" s="14" t="s">
        <v>38</v>
      </c>
      <c r="J41" s="14" t="s">
        <v>235</v>
      </c>
      <c r="K41" s="14" t="s">
        <v>40</v>
      </c>
      <c r="L41" s="16" t="s">
        <v>6</v>
      </c>
      <c r="M41" s="14" t="s">
        <v>104</v>
      </c>
      <c r="N41" s="14" t="s">
        <v>105</v>
      </c>
      <c r="O41" s="14"/>
    </row>
    <row r="42" customFormat="false" ht="55.2" hidden="false" customHeight="false" outlineLevel="0" collapsed="false">
      <c r="A42" s="14" t="n">
        <v>41</v>
      </c>
      <c r="B42" s="14" t="s">
        <v>236</v>
      </c>
      <c r="C42" s="14" t="s">
        <v>237</v>
      </c>
      <c r="D42" s="14" t="s">
        <v>46</v>
      </c>
      <c r="E42" s="14" t="s">
        <v>45</v>
      </c>
      <c r="F42" s="14"/>
      <c r="G42" s="14" t="s">
        <v>238</v>
      </c>
      <c r="H42" s="14" t="s">
        <v>175</v>
      </c>
      <c r="I42" s="14" t="s">
        <v>176</v>
      </c>
      <c r="J42" s="14" t="s">
        <v>239</v>
      </c>
      <c r="K42" s="14" t="s">
        <v>40</v>
      </c>
      <c r="L42" s="16" t="s">
        <v>6</v>
      </c>
      <c r="M42" s="14" t="s">
        <v>104</v>
      </c>
      <c r="N42" s="14" t="s">
        <v>105</v>
      </c>
      <c r="O42" s="14"/>
    </row>
    <row r="43" customFormat="false" ht="55.2" hidden="false" customHeight="false" outlineLevel="0" collapsed="false">
      <c r="A43" s="14" t="n">
        <v>42</v>
      </c>
      <c r="B43" s="14" t="s">
        <v>240</v>
      </c>
      <c r="C43" s="14" t="s">
        <v>241</v>
      </c>
      <c r="D43" s="14" t="s">
        <v>45</v>
      </c>
      <c r="E43" s="14" t="s">
        <v>34</v>
      </c>
      <c r="F43" s="14"/>
      <c r="G43" s="14" t="s">
        <v>242</v>
      </c>
      <c r="H43" s="14" t="s">
        <v>48</v>
      </c>
      <c r="I43" s="14" t="s">
        <v>49</v>
      </c>
      <c r="J43" s="14" t="s">
        <v>243</v>
      </c>
      <c r="K43" s="14" t="s">
        <v>40</v>
      </c>
      <c r="L43" s="16" t="s">
        <v>6</v>
      </c>
      <c r="M43" s="14" t="s">
        <v>104</v>
      </c>
      <c r="N43" s="14" t="s">
        <v>105</v>
      </c>
      <c r="O43" s="14"/>
    </row>
    <row r="44" customFormat="false" ht="55.2" hidden="false" customHeight="false" outlineLevel="0" collapsed="false">
      <c r="A44" s="14" t="n">
        <v>43</v>
      </c>
      <c r="B44" s="14" t="s">
        <v>244</v>
      </c>
      <c r="C44" s="14" t="s">
        <v>245</v>
      </c>
      <c r="D44" s="14" t="s">
        <v>34</v>
      </c>
      <c r="E44" s="14" t="s">
        <v>45</v>
      </c>
      <c r="F44" s="14" t="s">
        <v>219</v>
      </c>
      <c r="G44" s="14" t="s">
        <v>246</v>
      </c>
      <c r="H44" s="14" t="s">
        <v>37</v>
      </c>
      <c r="I44" s="14" t="s">
        <v>38</v>
      </c>
      <c r="J44" s="14" t="s">
        <v>247</v>
      </c>
      <c r="K44" s="14" t="s">
        <v>40</v>
      </c>
      <c r="L44" s="16" t="s">
        <v>6</v>
      </c>
      <c r="M44" s="14" t="s">
        <v>104</v>
      </c>
      <c r="N44" s="14" t="s">
        <v>105</v>
      </c>
      <c r="O44" s="14"/>
    </row>
    <row r="45" customFormat="false" ht="55.2" hidden="false" customHeight="false" outlineLevel="0" collapsed="false">
      <c r="A45" s="14" t="n">
        <v>44</v>
      </c>
      <c r="B45" s="14" t="s">
        <v>248</v>
      </c>
      <c r="C45" s="14" t="s">
        <v>249</v>
      </c>
      <c r="D45" s="14" t="s">
        <v>67</v>
      </c>
      <c r="E45" s="14" t="s">
        <v>34</v>
      </c>
      <c r="F45" s="14"/>
      <c r="G45" s="14" t="s">
        <v>250</v>
      </c>
      <c r="H45" s="14" t="s">
        <v>37</v>
      </c>
      <c r="I45" s="14" t="s">
        <v>38</v>
      </c>
      <c r="J45" s="14" t="s">
        <v>251</v>
      </c>
      <c r="K45" s="14" t="s">
        <v>57</v>
      </c>
      <c r="L45" s="18" t="s">
        <v>8</v>
      </c>
      <c r="M45" s="14" t="s">
        <v>252</v>
      </c>
      <c r="N45" s="14" t="s">
        <v>253</v>
      </c>
      <c r="O45" s="14" t="s">
        <v>254</v>
      </c>
    </row>
    <row r="46" customFormat="false" ht="41.75" hidden="false" customHeight="false" outlineLevel="0" collapsed="false">
      <c r="A46" s="14" t="n">
        <v>45</v>
      </c>
      <c r="B46" s="14" t="s">
        <v>255</v>
      </c>
      <c r="C46" s="14" t="s">
        <v>256</v>
      </c>
      <c r="D46" s="14" t="s">
        <v>45</v>
      </c>
      <c r="E46" s="14" t="s">
        <v>34</v>
      </c>
      <c r="F46" s="14"/>
      <c r="G46" s="14" t="s">
        <v>257</v>
      </c>
      <c r="H46" s="14" t="s">
        <v>37</v>
      </c>
      <c r="I46" s="14" t="s">
        <v>38</v>
      </c>
      <c r="J46" s="14" t="s">
        <v>258</v>
      </c>
      <c r="K46" s="14" t="s">
        <v>40</v>
      </c>
      <c r="L46" s="16" t="s">
        <v>6</v>
      </c>
      <c r="M46" s="14" t="s">
        <v>104</v>
      </c>
      <c r="N46" s="14" t="s">
        <v>105</v>
      </c>
      <c r="O46" s="14"/>
    </row>
    <row r="47" customFormat="false" ht="41.75" hidden="false" customHeight="false" outlineLevel="0" collapsed="false">
      <c r="A47" s="14" t="n">
        <v>46</v>
      </c>
      <c r="B47" s="14" t="s">
        <v>259</v>
      </c>
      <c r="C47" s="14" t="s">
        <v>260</v>
      </c>
      <c r="D47" s="14" t="s">
        <v>46</v>
      </c>
      <c r="E47" s="14" t="s">
        <v>45</v>
      </c>
      <c r="F47" s="14"/>
      <c r="G47" s="14" t="s">
        <v>261</v>
      </c>
      <c r="H47" s="14" t="s">
        <v>175</v>
      </c>
      <c r="I47" s="14" t="s">
        <v>176</v>
      </c>
      <c r="J47" s="14" t="s">
        <v>262</v>
      </c>
      <c r="K47" s="14" t="s">
        <v>40</v>
      </c>
      <c r="L47" s="16" t="s">
        <v>6</v>
      </c>
      <c r="M47" s="14" t="s">
        <v>104</v>
      </c>
      <c r="N47" s="14" t="s">
        <v>105</v>
      </c>
      <c r="O47" s="14"/>
    </row>
    <row r="48" customFormat="false" ht="55.2" hidden="false" customHeight="false" outlineLevel="0" collapsed="false">
      <c r="A48" s="14" t="n">
        <v>47</v>
      </c>
      <c r="B48" s="14" t="s">
        <v>263</v>
      </c>
      <c r="C48" s="14" t="s">
        <v>264</v>
      </c>
      <c r="D48" s="14" t="s">
        <v>34</v>
      </c>
      <c r="E48" s="14" t="s">
        <v>35</v>
      </c>
      <c r="F48" s="14"/>
      <c r="G48" s="14" t="s">
        <v>265</v>
      </c>
      <c r="H48" s="14" t="s">
        <v>37</v>
      </c>
      <c r="I48" s="14" t="s">
        <v>38</v>
      </c>
      <c r="J48" s="14" t="s">
        <v>266</v>
      </c>
      <c r="K48" s="14" t="s">
        <v>40</v>
      </c>
      <c r="L48" s="16" t="s">
        <v>6</v>
      </c>
      <c r="M48" s="14" t="s">
        <v>104</v>
      </c>
      <c r="N48" s="14" t="s">
        <v>105</v>
      </c>
      <c r="O48" s="14"/>
    </row>
    <row r="49" customFormat="false" ht="55.2" hidden="false" customHeight="false" outlineLevel="0" collapsed="false">
      <c r="A49" s="14" t="n">
        <v>48</v>
      </c>
      <c r="B49" s="14" t="s">
        <v>267</v>
      </c>
      <c r="C49" s="14" t="s">
        <v>268</v>
      </c>
      <c r="D49" s="14" t="s">
        <v>45</v>
      </c>
      <c r="E49" s="14" t="s">
        <v>34</v>
      </c>
      <c r="F49" s="14"/>
      <c r="G49" s="14" t="s">
        <v>269</v>
      </c>
      <c r="H49" s="14" t="s">
        <v>48</v>
      </c>
      <c r="I49" s="14" t="s">
        <v>38</v>
      </c>
      <c r="J49" s="14" t="s">
        <v>270</v>
      </c>
      <c r="K49" s="14" t="s">
        <v>40</v>
      </c>
      <c r="L49" s="16" t="s">
        <v>6</v>
      </c>
      <c r="M49" s="14" t="s">
        <v>104</v>
      </c>
      <c r="N49" s="14" t="s">
        <v>105</v>
      </c>
      <c r="O49" s="14"/>
    </row>
    <row r="50" customFormat="false" ht="55.2" hidden="false" customHeight="false" outlineLevel="0" collapsed="false">
      <c r="A50" s="14" t="n">
        <v>49</v>
      </c>
      <c r="B50" s="14" t="s">
        <v>271</v>
      </c>
      <c r="C50" s="14" t="s">
        <v>272</v>
      </c>
      <c r="D50" s="14" t="s">
        <v>219</v>
      </c>
      <c r="E50" s="14" t="s">
        <v>35</v>
      </c>
      <c r="F50" s="14"/>
      <c r="G50" s="14" t="s">
        <v>273</v>
      </c>
      <c r="H50" s="14" t="s">
        <v>37</v>
      </c>
      <c r="I50" s="14" t="s">
        <v>38</v>
      </c>
      <c r="J50" s="14" t="s">
        <v>274</v>
      </c>
      <c r="K50" s="14" t="s">
        <v>40</v>
      </c>
      <c r="L50" s="16" t="s">
        <v>6</v>
      </c>
      <c r="M50" s="14" t="s">
        <v>104</v>
      </c>
      <c r="N50" s="14" t="s">
        <v>105</v>
      </c>
      <c r="O50" s="14"/>
    </row>
    <row r="51" customFormat="false" ht="41.75" hidden="false" customHeight="false" outlineLevel="0" collapsed="false">
      <c r="A51" s="14" t="n">
        <v>50</v>
      </c>
      <c r="B51" s="14" t="s">
        <v>275</v>
      </c>
      <c r="C51" s="14" t="s">
        <v>276</v>
      </c>
      <c r="D51" s="14" t="s">
        <v>34</v>
      </c>
      <c r="E51" s="14" t="s">
        <v>45</v>
      </c>
      <c r="F51" s="14" t="s">
        <v>219</v>
      </c>
      <c r="G51" s="14" t="s">
        <v>277</v>
      </c>
      <c r="H51" s="14" t="s">
        <v>37</v>
      </c>
      <c r="I51" s="14" t="s">
        <v>38</v>
      </c>
      <c r="J51" s="14" t="s">
        <v>278</v>
      </c>
      <c r="K51" s="14" t="s">
        <v>40</v>
      </c>
      <c r="L51" s="16" t="s">
        <v>6</v>
      </c>
      <c r="M51" s="14" t="s">
        <v>104</v>
      </c>
      <c r="N51" s="14" t="s">
        <v>105</v>
      </c>
      <c r="O51" s="14"/>
    </row>
    <row r="52" customFormat="false" ht="41.75" hidden="false" customHeight="false" outlineLevel="0" collapsed="false">
      <c r="A52" s="14" t="n">
        <v>51</v>
      </c>
      <c r="B52" s="14" t="s">
        <v>279</v>
      </c>
      <c r="C52" s="14" t="s">
        <v>280</v>
      </c>
      <c r="D52" s="14" t="s">
        <v>46</v>
      </c>
      <c r="E52" s="14" t="s">
        <v>45</v>
      </c>
      <c r="F52" s="14"/>
      <c r="G52" s="14" t="s">
        <v>281</v>
      </c>
      <c r="H52" s="14" t="s">
        <v>175</v>
      </c>
      <c r="I52" s="14" t="s">
        <v>176</v>
      </c>
      <c r="J52" s="14" t="s">
        <v>282</v>
      </c>
      <c r="K52" s="14" t="s">
        <v>40</v>
      </c>
      <c r="L52" s="16" t="s">
        <v>6</v>
      </c>
      <c r="M52" s="14" t="s">
        <v>104</v>
      </c>
      <c r="N52" s="14" t="s">
        <v>105</v>
      </c>
      <c r="O52" s="14"/>
    </row>
    <row r="53" customFormat="false" ht="55.2" hidden="false" customHeight="false" outlineLevel="0" collapsed="false">
      <c r="A53" s="14" t="n">
        <v>52</v>
      </c>
      <c r="B53" s="14" t="s">
        <v>283</v>
      </c>
      <c r="C53" s="14" t="s">
        <v>284</v>
      </c>
      <c r="D53" s="14" t="s">
        <v>45</v>
      </c>
      <c r="E53" s="14" t="s">
        <v>34</v>
      </c>
      <c r="F53" s="14"/>
      <c r="G53" s="14" t="s">
        <v>285</v>
      </c>
      <c r="H53" s="14" t="s">
        <v>37</v>
      </c>
      <c r="I53" s="14" t="s">
        <v>38</v>
      </c>
      <c r="J53" s="14" t="s">
        <v>286</v>
      </c>
      <c r="K53" s="14" t="s">
        <v>40</v>
      </c>
      <c r="L53" s="16" t="s">
        <v>6</v>
      </c>
      <c r="M53" s="14" t="s">
        <v>104</v>
      </c>
      <c r="N53" s="14" t="s">
        <v>105</v>
      </c>
      <c r="O53" s="14"/>
    </row>
    <row r="54" customFormat="false" ht="55.2" hidden="false" customHeight="false" outlineLevel="0" collapsed="false">
      <c r="A54" s="14" t="n">
        <v>53</v>
      </c>
      <c r="B54" s="14" t="s">
        <v>287</v>
      </c>
      <c r="C54" s="14" t="s">
        <v>288</v>
      </c>
      <c r="D54" s="14" t="s">
        <v>219</v>
      </c>
      <c r="E54" s="14" t="s">
        <v>67</v>
      </c>
      <c r="F54" s="14" t="s">
        <v>35</v>
      </c>
      <c r="G54" s="14" t="s">
        <v>289</v>
      </c>
      <c r="H54" s="14" t="s">
        <v>37</v>
      </c>
      <c r="I54" s="14" t="s">
        <v>38</v>
      </c>
      <c r="J54" s="14" t="s">
        <v>290</v>
      </c>
      <c r="K54" s="14" t="s">
        <v>40</v>
      </c>
      <c r="L54" s="16" t="s">
        <v>6</v>
      </c>
      <c r="M54" s="14" t="s">
        <v>104</v>
      </c>
      <c r="N54" s="14" t="s">
        <v>105</v>
      </c>
      <c r="O54" s="14"/>
    </row>
    <row r="55" customFormat="false" ht="55.2" hidden="false" customHeight="false" outlineLevel="0" collapsed="false">
      <c r="A55" s="14" t="n">
        <v>54</v>
      </c>
      <c r="B55" s="14" t="s">
        <v>291</v>
      </c>
      <c r="C55" s="14" t="s">
        <v>292</v>
      </c>
      <c r="D55" s="14" t="s">
        <v>34</v>
      </c>
      <c r="E55" s="14" t="s">
        <v>61</v>
      </c>
      <c r="F55" s="14"/>
      <c r="G55" s="14" t="s">
        <v>293</v>
      </c>
      <c r="H55" s="14" t="s">
        <v>37</v>
      </c>
      <c r="I55" s="14" t="s">
        <v>38</v>
      </c>
      <c r="J55" s="14" t="s">
        <v>294</v>
      </c>
      <c r="K55" s="14" t="s">
        <v>40</v>
      </c>
      <c r="L55" s="16" t="s">
        <v>6</v>
      </c>
      <c r="M55" s="14" t="s">
        <v>104</v>
      </c>
      <c r="N55" s="14" t="s">
        <v>105</v>
      </c>
      <c r="O55" s="14"/>
    </row>
    <row r="56" customFormat="false" ht="28.35" hidden="false" customHeight="false" outlineLevel="0" collapsed="false">
      <c r="A56" s="14" t="n">
        <v>55</v>
      </c>
      <c r="B56" s="14" t="s">
        <v>295</v>
      </c>
      <c r="C56" s="14" t="s">
        <v>296</v>
      </c>
      <c r="D56" s="14" t="s">
        <v>188</v>
      </c>
      <c r="E56" s="14" t="s">
        <v>297</v>
      </c>
      <c r="F56" s="14"/>
      <c r="G56" s="14" t="s">
        <v>298</v>
      </c>
      <c r="H56" s="14" t="s">
        <v>37</v>
      </c>
      <c r="I56" s="14" t="s">
        <v>38</v>
      </c>
      <c r="J56" s="14" t="s">
        <v>299</v>
      </c>
      <c r="K56" s="14" t="s">
        <v>57</v>
      </c>
      <c r="L56" s="15" t="s">
        <v>9</v>
      </c>
      <c r="M56" s="14" t="s">
        <v>300</v>
      </c>
      <c r="N56" s="14" t="s">
        <v>301</v>
      </c>
      <c r="O56" s="14"/>
    </row>
    <row r="57" customFormat="false" ht="55.2" hidden="false" customHeight="false" outlineLevel="0" collapsed="false">
      <c r="A57" s="14" t="n">
        <v>56</v>
      </c>
      <c r="B57" s="14" t="s">
        <v>302</v>
      </c>
      <c r="C57" s="14" t="s">
        <v>303</v>
      </c>
      <c r="D57" s="14" t="s">
        <v>45</v>
      </c>
      <c r="E57" s="14" t="s">
        <v>34</v>
      </c>
      <c r="F57" s="14" t="s">
        <v>46</v>
      </c>
      <c r="G57" s="14" t="s">
        <v>304</v>
      </c>
      <c r="H57" s="14" t="s">
        <v>48</v>
      </c>
      <c r="I57" s="14" t="s">
        <v>49</v>
      </c>
      <c r="J57" s="14" t="s">
        <v>305</v>
      </c>
      <c r="K57" s="14" t="s">
        <v>40</v>
      </c>
      <c r="L57" s="16" t="s">
        <v>6</v>
      </c>
      <c r="M57" s="14" t="s">
        <v>104</v>
      </c>
      <c r="N57" s="14" t="s">
        <v>105</v>
      </c>
      <c r="O57" s="14"/>
    </row>
    <row r="58" customFormat="false" ht="41.75" hidden="false" customHeight="false" outlineLevel="0" collapsed="false">
      <c r="A58" s="14" t="n">
        <v>57</v>
      </c>
      <c r="B58" s="14" t="s">
        <v>306</v>
      </c>
      <c r="C58" s="14" t="s">
        <v>307</v>
      </c>
      <c r="D58" s="14" t="s">
        <v>46</v>
      </c>
      <c r="E58" s="14" t="s">
        <v>45</v>
      </c>
      <c r="F58" s="14"/>
      <c r="G58" s="14" t="s">
        <v>308</v>
      </c>
      <c r="H58" s="14" t="s">
        <v>309</v>
      </c>
      <c r="I58" s="14" t="s">
        <v>176</v>
      </c>
      <c r="J58" s="14" t="s">
        <v>310</v>
      </c>
      <c r="K58" s="14" t="s">
        <v>40</v>
      </c>
      <c r="L58" s="16" t="s">
        <v>6</v>
      </c>
      <c r="M58" s="14" t="s">
        <v>104</v>
      </c>
      <c r="N58" s="14" t="s">
        <v>105</v>
      </c>
      <c r="O58" s="14"/>
    </row>
    <row r="59" customFormat="false" ht="41.75" hidden="false" customHeight="false" outlineLevel="0" collapsed="false">
      <c r="A59" s="14" t="n">
        <v>58</v>
      </c>
      <c r="B59" s="14" t="s">
        <v>311</v>
      </c>
      <c r="C59" s="14" t="s">
        <v>101</v>
      </c>
      <c r="D59" s="14" t="s">
        <v>199</v>
      </c>
      <c r="E59" s="14" t="s">
        <v>35</v>
      </c>
      <c r="F59" s="14"/>
      <c r="G59" s="14" t="s">
        <v>312</v>
      </c>
      <c r="H59" s="14" t="s">
        <v>313</v>
      </c>
      <c r="I59" s="14" t="s">
        <v>176</v>
      </c>
      <c r="J59" s="14" t="s">
        <v>314</v>
      </c>
      <c r="K59" s="14" t="s">
        <v>57</v>
      </c>
      <c r="L59" s="15" t="s">
        <v>9</v>
      </c>
      <c r="M59" s="14" t="s">
        <v>315</v>
      </c>
      <c r="N59" s="14" t="s">
        <v>204</v>
      </c>
      <c r="O59" s="14"/>
    </row>
    <row r="60" customFormat="false" ht="41.75" hidden="false" customHeight="false" outlineLevel="0" collapsed="false">
      <c r="A60" s="14" t="n">
        <v>59</v>
      </c>
      <c r="B60" s="14" t="s">
        <v>316</v>
      </c>
      <c r="C60" s="14" t="s">
        <v>317</v>
      </c>
      <c r="D60" s="14" t="s">
        <v>34</v>
      </c>
      <c r="E60" s="14" t="s">
        <v>45</v>
      </c>
      <c r="F60" s="14"/>
      <c r="G60" s="14" t="s">
        <v>318</v>
      </c>
      <c r="H60" s="14" t="s">
        <v>37</v>
      </c>
      <c r="I60" s="14" t="s">
        <v>38</v>
      </c>
      <c r="J60" s="14" t="s">
        <v>319</v>
      </c>
      <c r="K60" s="14" t="s">
        <v>40</v>
      </c>
      <c r="L60" s="16" t="s">
        <v>6</v>
      </c>
      <c r="M60" s="14" t="s">
        <v>104</v>
      </c>
      <c r="N60" s="14" t="s">
        <v>105</v>
      </c>
      <c r="O60" s="14"/>
    </row>
    <row r="61" customFormat="false" ht="55.2" hidden="false" customHeight="false" outlineLevel="0" collapsed="false">
      <c r="A61" s="14" t="n">
        <v>60</v>
      </c>
      <c r="B61" s="14" t="s">
        <v>320</v>
      </c>
      <c r="C61" s="14" t="s">
        <v>321</v>
      </c>
      <c r="D61" s="14" t="s">
        <v>219</v>
      </c>
      <c r="E61" s="14" t="s">
        <v>35</v>
      </c>
      <c r="F61" s="14"/>
      <c r="G61" s="14" t="s">
        <v>322</v>
      </c>
      <c r="H61" s="14" t="s">
        <v>37</v>
      </c>
      <c r="I61" s="14" t="s">
        <v>38</v>
      </c>
      <c r="J61" s="14" t="s">
        <v>323</v>
      </c>
      <c r="K61" s="14" t="s">
        <v>40</v>
      </c>
      <c r="L61" s="16" t="s">
        <v>6</v>
      </c>
      <c r="M61" s="14" t="s">
        <v>104</v>
      </c>
      <c r="N61" s="14" t="s">
        <v>105</v>
      </c>
      <c r="O61" s="14"/>
    </row>
    <row r="62" customFormat="false" ht="55.2" hidden="false" customHeight="false" outlineLevel="0" collapsed="false">
      <c r="A62" s="14" t="n">
        <v>61</v>
      </c>
      <c r="B62" s="14" t="s">
        <v>324</v>
      </c>
      <c r="C62" s="14" t="s">
        <v>325</v>
      </c>
      <c r="D62" s="14" t="s">
        <v>219</v>
      </c>
      <c r="E62" s="14" t="s">
        <v>297</v>
      </c>
      <c r="F62" s="14"/>
      <c r="G62" s="14" t="s">
        <v>326</v>
      </c>
      <c r="H62" s="14" t="s">
        <v>37</v>
      </c>
      <c r="I62" s="14" t="s">
        <v>38</v>
      </c>
      <c r="J62" s="14" t="s">
        <v>327</v>
      </c>
      <c r="K62" s="14" t="s">
        <v>40</v>
      </c>
      <c r="L62" s="16" t="s">
        <v>6</v>
      </c>
      <c r="M62" s="14" t="s">
        <v>104</v>
      </c>
      <c r="N62" s="14" t="s">
        <v>105</v>
      </c>
      <c r="O62" s="14"/>
    </row>
    <row r="63" customFormat="false" ht="55.2" hidden="false" customHeight="false" outlineLevel="0" collapsed="false">
      <c r="A63" s="14" t="n">
        <v>62</v>
      </c>
      <c r="B63" s="14" t="s">
        <v>328</v>
      </c>
      <c r="C63" s="14" t="s">
        <v>329</v>
      </c>
      <c r="D63" s="14" t="s">
        <v>45</v>
      </c>
      <c r="E63" s="14" t="s">
        <v>34</v>
      </c>
      <c r="F63" s="14"/>
      <c r="G63" s="14" t="s">
        <v>330</v>
      </c>
      <c r="H63" s="14" t="s">
        <v>63</v>
      </c>
      <c r="I63" s="14" t="s">
        <v>38</v>
      </c>
      <c r="J63" s="14" t="s">
        <v>331</v>
      </c>
      <c r="K63" s="14" t="s">
        <v>40</v>
      </c>
      <c r="L63" s="16" t="s">
        <v>6</v>
      </c>
      <c r="M63" s="14" t="s">
        <v>104</v>
      </c>
      <c r="N63" s="14" t="s">
        <v>105</v>
      </c>
      <c r="O63" s="14"/>
    </row>
    <row r="64" customFormat="false" ht="55.2" hidden="false" customHeight="false" outlineLevel="0" collapsed="false">
      <c r="A64" s="14" t="n">
        <v>63</v>
      </c>
      <c r="B64" s="14" t="s">
        <v>332</v>
      </c>
      <c r="C64" s="14" t="s">
        <v>333</v>
      </c>
      <c r="D64" s="14" t="s">
        <v>46</v>
      </c>
      <c r="E64" s="14" t="s">
        <v>45</v>
      </c>
      <c r="F64" s="14"/>
      <c r="G64" s="14" t="s">
        <v>334</v>
      </c>
      <c r="H64" s="14" t="s">
        <v>175</v>
      </c>
      <c r="I64" s="14" t="s">
        <v>176</v>
      </c>
      <c r="J64" s="14" t="s">
        <v>335</v>
      </c>
      <c r="K64" s="14" t="s">
        <v>40</v>
      </c>
      <c r="L64" s="16" t="s">
        <v>6</v>
      </c>
      <c r="M64" s="14" t="s">
        <v>104</v>
      </c>
      <c r="N64" s="14" t="s">
        <v>105</v>
      </c>
      <c r="O64" s="14"/>
    </row>
    <row r="65" customFormat="false" ht="41.75" hidden="false" customHeight="false" outlineLevel="0" collapsed="false">
      <c r="A65" s="14" t="n">
        <v>64</v>
      </c>
      <c r="B65" s="14" t="s">
        <v>336</v>
      </c>
      <c r="C65" s="14" t="s">
        <v>337</v>
      </c>
      <c r="D65" s="14" t="s">
        <v>34</v>
      </c>
      <c r="E65" s="14" t="s">
        <v>35</v>
      </c>
      <c r="F65" s="14" t="s">
        <v>219</v>
      </c>
      <c r="G65" s="14" t="s">
        <v>338</v>
      </c>
      <c r="H65" s="14" t="s">
        <v>37</v>
      </c>
      <c r="I65" s="14" t="s">
        <v>38</v>
      </c>
      <c r="J65" s="14" t="s">
        <v>339</v>
      </c>
      <c r="K65" s="14" t="s">
        <v>40</v>
      </c>
      <c r="L65" s="16" t="s">
        <v>6</v>
      </c>
      <c r="M65" s="14" t="s">
        <v>104</v>
      </c>
      <c r="N65" s="14" t="s">
        <v>105</v>
      </c>
      <c r="O65" s="14"/>
    </row>
    <row r="66" customFormat="false" ht="55.2" hidden="false" customHeight="false" outlineLevel="0" collapsed="false">
      <c r="A66" s="14" t="n">
        <v>65</v>
      </c>
      <c r="B66" s="14" t="s">
        <v>340</v>
      </c>
      <c r="C66" s="14" t="s">
        <v>341</v>
      </c>
      <c r="D66" s="14" t="s">
        <v>45</v>
      </c>
      <c r="E66" s="14" t="s">
        <v>34</v>
      </c>
      <c r="F66" s="14" t="s">
        <v>46</v>
      </c>
      <c r="G66" s="14" t="s">
        <v>342</v>
      </c>
      <c r="H66" s="14" t="s">
        <v>37</v>
      </c>
      <c r="I66" s="14" t="s">
        <v>38</v>
      </c>
      <c r="J66" s="14" t="s">
        <v>343</v>
      </c>
      <c r="K66" s="14" t="s">
        <v>40</v>
      </c>
      <c r="L66" s="16" t="s">
        <v>6</v>
      </c>
      <c r="M66" s="14" t="s">
        <v>104</v>
      </c>
      <c r="N66" s="14" t="s">
        <v>105</v>
      </c>
      <c r="O66" s="14"/>
    </row>
    <row r="67" customFormat="false" ht="41.75" hidden="false" customHeight="false" outlineLevel="0" collapsed="false">
      <c r="A67" s="14" t="n">
        <v>66</v>
      </c>
      <c r="B67" s="14" t="s">
        <v>344</v>
      </c>
      <c r="C67" s="14" t="s">
        <v>345</v>
      </c>
      <c r="D67" s="14" t="s">
        <v>46</v>
      </c>
      <c r="E67" s="14" t="s">
        <v>45</v>
      </c>
      <c r="F67" s="14" t="s">
        <v>346</v>
      </c>
      <c r="G67" s="14" t="s">
        <v>347</v>
      </c>
      <c r="H67" s="14" t="s">
        <v>309</v>
      </c>
      <c r="I67" s="14" t="s">
        <v>176</v>
      </c>
      <c r="J67" s="14" t="s">
        <v>348</v>
      </c>
      <c r="K67" s="14" t="s">
        <v>40</v>
      </c>
      <c r="L67" s="16" t="s">
        <v>6</v>
      </c>
      <c r="M67" s="14" t="s">
        <v>104</v>
      </c>
      <c r="N67" s="14" t="s">
        <v>105</v>
      </c>
      <c r="O67" s="14"/>
    </row>
    <row r="68" customFormat="false" ht="28.35" hidden="false" customHeight="false" outlineLevel="0" collapsed="false">
      <c r="A68" s="14" t="n">
        <v>67</v>
      </c>
      <c r="B68" s="14" t="s">
        <v>349</v>
      </c>
      <c r="C68" s="14" t="s">
        <v>345</v>
      </c>
      <c r="D68" s="14" t="s">
        <v>297</v>
      </c>
      <c r="E68" s="14" t="s">
        <v>35</v>
      </c>
      <c r="F68" s="14"/>
      <c r="G68" s="14" t="s">
        <v>350</v>
      </c>
      <c r="H68" s="14" t="s">
        <v>37</v>
      </c>
      <c r="I68" s="14" t="s">
        <v>38</v>
      </c>
      <c r="J68" s="14" t="s">
        <v>351</v>
      </c>
      <c r="K68" s="14" t="s">
        <v>57</v>
      </c>
      <c r="L68" s="15" t="s">
        <v>9</v>
      </c>
      <c r="M68" s="14" t="s">
        <v>352</v>
      </c>
      <c r="N68" s="14" t="s">
        <v>157</v>
      </c>
      <c r="O68" s="14"/>
    </row>
    <row r="69" customFormat="false" ht="55.2" hidden="false" customHeight="false" outlineLevel="0" collapsed="false">
      <c r="A69" s="14" t="n">
        <v>68</v>
      </c>
      <c r="B69" s="14" t="s">
        <v>353</v>
      </c>
      <c r="C69" s="14" t="s">
        <v>354</v>
      </c>
      <c r="D69" s="14" t="s">
        <v>34</v>
      </c>
      <c r="E69" s="14" t="s">
        <v>45</v>
      </c>
      <c r="F69" s="14"/>
      <c r="G69" s="14" t="s">
        <v>355</v>
      </c>
      <c r="H69" s="14" t="s">
        <v>37</v>
      </c>
      <c r="I69" s="14" t="s">
        <v>38</v>
      </c>
      <c r="J69" s="14" t="s">
        <v>356</v>
      </c>
      <c r="K69" s="14" t="s">
        <v>40</v>
      </c>
      <c r="L69" s="16" t="s">
        <v>6</v>
      </c>
      <c r="M69" s="14" t="s">
        <v>104</v>
      </c>
      <c r="N69" s="14" t="s">
        <v>105</v>
      </c>
      <c r="O69" s="14"/>
    </row>
    <row r="70" customFormat="false" ht="41.75" hidden="false" customHeight="false" outlineLevel="0" collapsed="false">
      <c r="A70" s="14" t="n">
        <v>69</v>
      </c>
      <c r="B70" s="14" t="s">
        <v>357</v>
      </c>
      <c r="C70" s="14" t="s">
        <v>358</v>
      </c>
      <c r="D70" s="14" t="s">
        <v>45</v>
      </c>
      <c r="E70" s="14" t="s">
        <v>34</v>
      </c>
      <c r="F70" s="14"/>
      <c r="G70" s="14" t="s">
        <v>359</v>
      </c>
      <c r="H70" s="14" t="s">
        <v>37</v>
      </c>
      <c r="I70" s="14" t="s">
        <v>38</v>
      </c>
      <c r="J70" s="14" t="s">
        <v>360</v>
      </c>
      <c r="K70" s="14" t="s">
        <v>40</v>
      </c>
      <c r="L70" s="16" t="s">
        <v>6</v>
      </c>
      <c r="M70" s="14" t="s">
        <v>104</v>
      </c>
      <c r="N70" s="14" t="s">
        <v>105</v>
      </c>
      <c r="O70" s="14"/>
    </row>
    <row r="71" customFormat="false" ht="41.75" hidden="false" customHeight="false" outlineLevel="0" collapsed="false">
      <c r="A71" s="14" t="n">
        <v>70</v>
      </c>
      <c r="B71" s="14" t="s">
        <v>361</v>
      </c>
      <c r="C71" s="14" t="s">
        <v>362</v>
      </c>
      <c r="D71" s="14" t="s">
        <v>346</v>
      </c>
      <c r="E71" s="14" t="s">
        <v>45</v>
      </c>
      <c r="F71" s="14"/>
      <c r="G71" s="14" t="s">
        <v>363</v>
      </c>
      <c r="H71" s="14" t="s">
        <v>175</v>
      </c>
      <c r="I71" s="14" t="s">
        <v>176</v>
      </c>
      <c r="J71" s="14" t="s">
        <v>364</v>
      </c>
      <c r="K71" s="14" t="s">
        <v>40</v>
      </c>
      <c r="L71" s="16" t="s">
        <v>6</v>
      </c>
      <c r="M71" s="14" t="s">
        <v>104</v>
      </c>
      <c r="N71" s="14" t="s">
        <v>105</v>
      </c>
      <c r="O71" s="14"/>
    </row>
    <row r="72" customFormat="false" ht="55.2" hidden="false" customHeight="false" outlineLevel="0" collapsed="false">
      <c r="A72" s="14" t="n">
        <v>71</v>
      </c>
      <c r="B72" s="14" t="s">
        <v>365</v>
      </c>
      <c r="C72" s="14" t="s">
        <v>366</v>
      </c>
      <c r="D72" s="14" t="s">
        <v>219</v>
      </c>
      <c r="E72" s="14" t="s">
        <v>34</v>
      </c>
      <c r="F72" s="14"/>
      <c r="G72" s="14" t="s">
        <v>367</v>
      </c>
      <c r="H72" s="14" t="s">
        <v>37</v>
      </c>
      <c r="I72" s="14" t="s">
        <v>38</v>
      </c>
      <c r="J72" s="14" t="s">
        <v>368</v>
      </c>
      <c r="K72" s="14" t="s">
        <v>40</v>
      </c>
      <c r="L72" s="16" t="s">
        <v>6</v>
      </c>
      <c r="M72" s="14" t="s">
        <v>104</v>
      </c>
      <c r="N72" s="14" t="s">
        <v>105</v>
      </c>
      <c r="O72" s="14"/>
    </row>
    <row r="73" customFormat="false" ht="68.65" hidden="false" customHeight="false" outlineLevel="0" collapsed="false">
      <c r="A73" s="14" t="n">
        <v>72</v>
      </c>
      <c r="B73" s="14" t="s">
        <v>369</v>
      </c>
      <c r="C73" s="14" t="s">
        <v>370</v>
      </c>
      <c r="D73" s="14" t="s">
        <v>35</v>
      </c>
      <c r="E73" s="14" t="s">
        <v>34</v>
      </c>
      <c r="F73" s="14"/>
      <c r="G73" s="14" t="s">
        <v>371</v>
      </c>
      <c r="H73" s="14" t="s">
        <v>372</v>
      </c>
      <c r="I73" s="14" t="s">
        <v>38</v>
      </c>
      <c r="J73" s="14" t="s">
        <v>373</v>
      </c>
      <c r="K73" s="14" t="s">
        <v>57</v>
      </c>
      <c r="L73" s="18" t="s">
        <v>8</v>
      </c>
      <c r="M73" s="14" t="s">
        <v>374</v>
      </c>
      <c r="N73" s="14" t="s">
        <v>375</v>
      </c>
      <c r="O73" s="14"/>
    </row>
    <row r="74" customFormat="false" ht="41.75" hidden="false" customHeight="false" outlineLevel="0" collapsed="false">
      <c r="A74" s="14" t="n">
        <v>73</v>
      </c>
      <c r="B74" s="14" t="s">
        <v>376</v>
      </c>
      <c r="C74" s="14" t="s">
        <v>377</v>
      </c>
      <c r="D74" s="14" t="s">
        <v>45</v>
      </c>
      <c r="E74" s="14" t="s">
        <v>34</v>
      </c>
      <c r="F74" s="14" t="s">
        <v>219</v>
      </c>
      <c r="G74" s="14" t="s">
        <v>378</v>
      </c>
      <c r="H74" s="14" t="s">
        <v>37</v>
      </c>
      <c r="I74" s="14" t="s">
        <v>38</v>
      </c>
      <c r="J74" s="14" t="s">
        <v>379</v>
      </c>
      <c r="K74" s="14" t="s">
        <v>40</v>
      </c>
      <c r="L74" s="16" t="s">
        <v>6</v>
      </c>
      <c r="M74" s="14" t="s">
        <v>104</v>
      </c>
      <c r="N74" s="14" t="s">
        <v>105</v>
      </c>
      <c r="O74" s="14"/>
    </row>
    <row r="75" customFormat="false" ht="55.2" hidden="false" customHeight="false" outlineLevel="0" collapsed="false">
      <c r="A75" s="14" t="n">
        <v>74</v>
      </c>
      <c r="B75" s="14" t="s">
        <v>380</v>
      </c>
      <c r="C75" s="14" t="s">
        <v>381</v>
      </c>
      <c r="D75" s="14" t="s">
        <v>46</v>
      </c>
      <c r="E75" s="14" t="s">
        <v>45</v>
      </c>
      <c r="F75" s="14"/>
      <c r="G75" s="14" t="s">
        <v>382</v>
      </c>
      <c r="H75" s="14" t="s">
        <v>175</v>
      </c>
      <c r="I75" s="14" t="s">
        <v>176</v>
      </c>
      <c r="J75" s="14" t="s">
        <v>383</v>
      </c>
      <c r="K75" s="14" t="s">
        <v>40</v>
      </c>
      <c r="L75" s="16" t="s">
        <v>6</v>
      </c>
      <c r="M75" s="14" t="s">
        <v>104</v>
      </c>
      <c r="N75" s="14" t="s">
        <v>105</v>
      </c>
      <c r="O75" s="14"/>
    </row>
    <row r="76" customFormat="false" ht="55.2" hidden="false" customHeight="false" outlineLevel="0" collapsed="false">
      <c r="A76" s="14" t="n">
        <v>75</v>
      </c>
      <c r="B76" s="14" t="s">
        <v>384</v>
      </c>
      <c r="C76" s="14" t="s">
        <v>385</v>
      </c>
      <c r="D76" s="14" t="s">
        <v>34</v>
      </c>
      <c r="E76" s="14" t="s">
        <v>61</v>
      </c>
      <c r="F76" s="14"/>
      <c r="G76" s="14" t="s">
        <v>386</v>
      </c>
      <c r="H76" s="14" t="s">
        <v>63</v>
      </c>
      <c r="I76" s="14" t="s">
        <v>38</v>
      </c>
      <c r="J76" s="14" t="s">
        <v>387</v>
      </c>
      <c r="K76" s="14" t="s">
        <v>40</v>
      </c>
      <c r="L76" s="16" t="s">
        <v>6</v>
      </c>
      <c r="M76" s="14" t="s">
        <v>104</v>
      </c>
      <c r="N76" s="14" t="s">
        <v>105</v>
      </c>
      <c r="O76" s="14"/>
    </row>
    <row r="77" customFormat="false" ht="55.2" hidden="false" customHeight="false" outlineLevel="0" collapsed="false">
      <c r="A77" s="14" t="n">
        <v>76</v>
      </c>
      <c r="B77" s="14" t="s">
        <v>388</v>
      </c>
      <c r="C77" s="14" t="s">
        <v>389</v>
      </c>
      <c r="D77" s="14" t="s">
        <v>45</v>
      </c>
      <c r="E77" s="14" t="s">
        <v>34</v>
      </c>
      <c r="F77" s="14" t="s">
        <v>390</v>
      </c>
      <c r="G77" s="14" t="s">
        <v>391</v>
      </c>
      <c r="H77" s="14" t="s">
        <v>37</v>
      </c>
      <c r="I77" s="14" t="s">
        <v>38</v>
      </c>
      <c r="J77" s="14" t="s">
        <v>392</v>
      </c>
      <c r="K77" s="14" t="s">
        <v>57</v>
      </c>
      <c r="L77" s="17" t="s">
        <v>7</v>
      </c>
      <c r="M77" s="14" t="s">
        <v>393</v>
      </c>
      <c r="N77" s="14" t="s">
        <v>394</v>
      </c>
      <c r="O77" s="14"/>
    </row>
    <row r="78" customFormat="false" ht="55.2" hidden="false" customHeight="false" outlineLevel="0" collapsed="false">
      <c r="A78" s="14" t="n">
        <v>77</v>
      </c>
      <c r="B78" s="14" t="s">
        <v>395</v>
      </c>
      <c r="C78" s="14" t="s">
        <v>396</v>
      </c>
      <c r="D78" s="14" t="s">
        <v>45</v>
      </c>
      <c r="E78" s="14" t="s">
        <v>34</v>
      </c>
      <c r="F78" s="14" t="s">
        <v>46</v>
      </c>
      <c r="G78" s="14" t="s">
        <v>397</v>
      </c>
      <c r="H78" s="14" t="s">
        <v>63</v>
      </c>
      <c r="I78" s="14" t="s">
        <v>49</v>
      </c>
      <c r="J78" s="14" t="s">
        <v>398</v>
      </c>
      <c r="K78" s="14" t="s">
        <v>40</v>
      </c>
      <c r="L78" s="16" t="s">
        <v>6</v>
      </c>
      <c r="M78" s="14" t="s">
        <v>104</v>
      </c>
      <c r="N78" s="14" t="s">
        <v>105</v>
      </c>
      <c r="O78" s="14"/>
    </row>
    <row r="79" customFormat="false" ht="82.05" hidden="false" customHeight="false" outlineLevel="0" collapsed="false">
      <c r="A79" s="14" t="n">
        <v>78</v>
      </c>
      <c r="B79" s="14" t="s">
        <v>399</v>
      </c>
      <c r="C79" s="14" t="s">
        <v>400</v>
      </c>
      <c r="D79" s="14" t="s">
        <v>219</v>
      </c>
      <c r="E79" s="14" t="s">
        <v>45</v>
      </c>
      <c r="F79" s="14"/>
      <c r="G79" s="14" t="s">
        <v>401</v>
      </c>
      <c r="H79" s="14" t="s">
        <v>372</v>
      </c>
      <c r="I79" s="14" t="s">
        <v>38</v>
      </c>
      <c r="J79" s="14" t="s">
        <v>402</v>
      </c>
      <c r="K79" s="14" t="s">
        <v>57</v>
      </c>
      <c r="L79" s="19" t="s">
        <v>10</v>
      </c>
      <c r="M79" s="14" t="s">
        <v>403</v>
      </c>
      <c r="N79" s="14" t="s">
        <v>404</v>
      </c>
      <c r="O79" s="14" t="s">
        <v>254</v>
      </c>
    </row>
    <row r="80" customFormat="false" ht="41.75" hidden="false" customHeight="false" outlineLevel="0" collapsed="false">
      <c r="A80" s="14" t="n">
        <v>79</v>
      </c>
      <c r="B80" s="14" t="s">
        <v>405</v>
      </c>
      <c r="C80" s="14" t="s">
        <v>406</v>
      </c>
      <c r="D80" s="14" t="s">
        <v>46</v>
      </c>
      <c r="E80" s="14" t="s">
        <v>45</v>
      </c>
      <c r="F80" s="14"/>
      <c r="G80" s="14" t="s">
        <v>407</v>
      </c>
      <c r="H80" s="14" t="s">
        <v>175</v>
      </c>
      <c r="I80" s="14" t="s">
        <v>176</v>
      </c>
      <c r="J80" s="14" t="s">
        <v>408</v>
      </c>
      <c r="K80" s="14" t="s">
        <v>40</v>
      </c>
      <c r="L80" s="16" t="s">
        <v>6</v>
      </c>
      <c r="M80" s="14" t="s">
        <v>104</v>
      </c>
      <c r="N80" s="14" t="s">
        <v>105</v>
      </c>
      <c r="O80" s="14"/>
    </row>
    <row r="81" customFormat="false" ht="55.2" hidden="false" customHeight="false" outlineLevel="0" collapsed="false">
      <c r="A81" s="14" t="n">
        <v>80</v>
      </c>
      <c r="B81" s="14" t="s">
        <v>409</v>
      </c>
      <c r="C81" s="14" t="s">
        <v>410</v>
      </c>
      <c r="D81" s="14" t="s">
        <v>34</v>
      </c>
      <c r="E81" s="14" t="s">
        <v>35</v>
      </c>
      <c r="F81" s="14"/>
      <c r="G81" s="14" t="s">
        <v>411</v>
      </c>
      <c r="H81" s="14" t="s">
        <v>37</v>
      </c>
      <c r="I81" s="14" t="s">
        <v>38</v>
      </c>
      <c r="J81" s="14" t="s">
        <v>412</v>
      </c>
      <c r="K81" s="14" t="s">
        <v>40</v>
      </c>
      <c r="L81" s="16" t="s">
        <v>6</v>
      </c>
      <c r="M81" s="14" t="s">
        <v>104</v>
      </c>
      <c r="N81" s="14" t="s">
        <v>105</v>
      </c>
      <c r="O81" s="14"/>
    </row>
    <row r="82" customFormat="false" ht="55.2" hidden="false" customHeight="false" outlineLevel="0" collapsed="false">
      <c r="A82" s="14" t="n">
        <v>81</v>
      </c>
      <c r="B82" s="14" t="s">
        <v>413</v>
      </c>
      <c r="C82" s="14" t="s">
        <v>414</v>
      </c>
      <c r="D82" s="14" t="s">
        <v>45</v>
      </c>
      <c r="E82" s="14" t="s">
        <v>34</v>
      </c>
      <c r="F82" s="14"/>
      <c r="G82" s="14" t="s">
        <v>415</v>
      </c>
      <c r="H82" s="14" t="s">
        <v>48</v>
      </c>
      <c r="I82" s="14" t="s">
        <v>38</v>
      </c>
      <c r="J82" s="14" t="s">
        <v>416</v>
      </c>
      <c r="K82" s="14" t="s">
        <v>40</v>
      </c>
      <c r="L82" s="16" t="s">
        <v>6</v>
      </c>
      <c r="M82" s="14" t="s">
        <v>104</v>
      </c>
      <c r="N82" s="14" t="s">
        <v>105</v>
      </c>
      <c r="O82" s="14"/>
    </row>
    <row r="83" customFormat="false" ht="55.2" hidden="false" customHeight="false" outlineLevel="0" collapsed="false">
      <c r="A83" s="14" t="n">
        <v>82</v>
      </c>
      <c r="B83" s="14" t="s">
        <v>417</v>
      </c>
      <c r="C83" s="14" t="s">
        <v>418</v>
      </c>
      <c r="D83" s="14" t="s">
        <v>219</v>
      </c>
      <c r="E83" s="14" t="s">
        <v>67</v>
      </c>
      <c r="F83" s="14"/>
      <c r="G83" s="14" t="s">
        <v>419</v>
      </c>
      <c r="H83" s="14" t="s">
        <v>37</v>
      </c>
      <c r="I83" s="14" t="s">
        <v>38</v>
      </c>
      <c r="J83" s="14" t="s">
        <v>420</v>
      </c>
      <c r="K83" s="14" t="s">
        <v>40</v>
      </c>
      <c r="L83" s="16" t="s">
        <v>6</v>
      </c>
      <c r="M83" s="14" t="s">
        <v>104</v>
      </c>
      <c r="N83" s="14" t="s">
        <v>105</v>
      </c>
      <c r="O83" s="14"/>
    </row>
    <row r="84" customFormat="false" ht="55.2" hidden="false" customHeight="false" outlineLevel="0" collapsed="false">
      <c r="A84" s="14" t="n">
        <v>83</v>
      </c>
      <c r="B84" s="14" t="s">
        <v>421</v>
      </c>
      <c r="C84" s="14" t="s">
        <v>422</v>
      </c>
      <c r="D84" s="14" t="s">
        <v>45</v>
      </c>
      <c r="E84" s="14" t="s">
        <v>34</v>
      </c>
      <c r="F84" s="14" t="s">
        <v>46</v>
      </c>
      <c r="G84" s="14" t="s">
        <v>423</v>
      </c>
      <c r="H84" s="14" t="s">
        <v>37</v>
      </c>
      <c r="I84" s="14" t="s">
        <v>38</v>
      </c>
      <c r="J84" s="14" t="s">
        <v>424</v>
      </c>
      <c r="K84" s="14" t="s">
        <v>40</v>
      </c>
      <c r="L84" s="16" t="s">
        <v>6</v>
      </c>
      <c r="M84" s="14" t="s">
        <v>104</v>
      </c>
      <c r="N84" s="14" t="s">
        <v>105</v>
      </c>
      <c r="O84" s="14"/>
    </row>
    <row r="85" customFormat="false" ht="55.2" hidden="false" customHeight="false" outlineLevel="0" collapsed="false">
      <c r="A85" s="14" t="n">
        <v>84</v>
      </c>
      <c r="B85" s="14" t="s">
        <v>425</v>
      </c>
      <c r="C85" s="14" t="s">
        <v>426</v>
      </c>
      <c r="D85" s="14" t="s">
        <v>46</v>
      </c>
      <c r="E85" s="14" t="s">
        <v>45</v>
      </c>
      <c r="F85" s="14" t="s">
        <v>346</v>
      </c>
      <c r="G85" s="14" t="s">
        <v>427</v>
      </c>
      <c r="H85" s="14" t="s">
        <v>175</v>
      </c>
      <c r="I85" s="14" t="s">
        <v>176</v>
      </c>
      <c r="J85" s="14" t="s">
        <v>428</v>
      </c>
      <c r="K85" s="14" t="s">
        <v>40</v>
      </c>
      <c r="L85" s="16" t="s">
        <v>6</v>
      </c>
      <c r="M85" s="14" t="s">
        <v>104</v>
      </c>
      <c r="N85" s="14" t="s">
        <v>105</v>
      </c>
      <c r="O85" s="14"/>
    </row>
    <row r="86" customFormat="false" ht="82.05" hidden="false" customHeight="false" outlineLevel="0" collapsed="false">
      <c r="A86" s="14" t="n">
        <v>85</v>
      </c>
      <c r="B86" s="14" t="s">
        <v>429</v>
      </c>
      <c r="C86" s="14" t="s">
        <v>430</v>
      </c>
      <c r="D86" s="14" t="s">
        <v>45</v>
      </c>
      <c r="E86" s="14" t="s">
        <v>431</v>
      </c>
      <c r="F86" s="14"/>
      <c r="G86" s="14" t="s">
        <v>432</v>
      </c>
      <c r="H86" s="14" t="s">
        <v>48</v>
      </c>
      <c r="I86" s="14" t="s">
        <v>433</v>
      </c>
      <c r="J86" s="14" t="s">
        <v>434</v>
      </c>
      <c r="K86" s="14" t="s">
        <v>57</v>
      </c>
      <c r="L86" s="19" t="s">
        <v>10</v>
      </c>
      <c r="M86" s="14" t="s">
        <v>435</v>
      </c>
      <c r="N86" s="14" t="s">
        <v>436</v>
      </c>
      <c r="O86" s="14" t="s">
        <v>254</v>
      </c>
    </row>
    <row r="87" customFormat="false" ht="41.75" hidden="false" customHeight="false" outlineLevel="0" collapsed="false">
      <c r="A87" s="14" t="n">
        <v>86</v>
      </c>
      <c r="B87" s="14" t="s">
        <v>437</v>
      </c>
      <c r="C87" s="14" t="s">
        <v>438</v>
      </c>
      <c r="D87" s="14" t="s">
        <v>34</v>
      </c>
      <c r="E87" s="14" t="s">
        <v>45</v>
      </c>
      <c r="F87" s="14"/>
      <c r="G87" s="14" t="s">
        <v>439</v>
      </c>
      <c r="H87" s="14" t="s">
        <v>37</v>
      </c>
      <c r="I87" s="14" t="s">
        <v>38</v>
      </c>
      <c r="J87" s="14" t="s">
        <v>440</v>
      </c>
      <c r="K87" s="14" t="s">
        <v>40</v>
      </c>
      <c r="L87" s="16" t="s">
        <v>6</v>
      </c>
      <c r="M87" s="14" t="s">
        <v>104</v>
      </c>
      <c r="N87" s="14" t="s">
        <v>105</v>
      </c>
      <c r="O87" s="14"/>
    </row>
    <row r="88" customFormat="false" ht="68.65" hidden="false" customHeight="false" outlineLevel="0" collapsed="false">
      <c r="A88" s="14" t="n">
        <v>87</v>
      </c>
      <c r="B88" s="14" t="s">
        <v>441</v>
      </c>
      <c r="C88" s="14" t="s">
        <v>442</v>
      </c>
      <c r="D88" s="14" t="s">
        <v>45</v>
      </c>
      <c r="E88" s="14" t="s">
        <v>34</v>
      </c>
      <c r="F88" s="14"/>
      <c r="G88" s="14" t="s">
        <v>443</v>
      </c>
      <c r="H88" s="14" t="s">
        <v>37</v>
      </c>
      <c r="I88" s="14" t="s">
        <v>49</v>
      </c>
      <c r="J88" s="14" t="s">
        <v>444</v>
      </c>
      <c r="K88" s="14" t="s">
        <v>40</v>
      </c>
      <c r="L88" s="16" t="s">
        <v>6</v>
      </c>
      <c r="M88" s="14" t="s">
        <v>104</v>
      </c>
      <c r="N88" s="14" t="s">
        <v>105</v>
      </c>
      <c r="O88" s="14"/>
    </row>
    <row r="89" customFormat="false" ht="55.2" hidden="false" customHeight="false" outlineLevel="0" collapsed="false">
      <c r="A89" s="14" t="n">
        <v>88</v>
      </c>
      <c r="B89" s="14" t="s">
        <v>445</v>
      </c>
      <c r="C89" s="14" t="s">
        <v>446</v>
      </c>
      <c r="D89" s="14" t="s">
        <v>346</v>
      </c>
      <c r="E89" s="14" t="s">
        <v>46</v>
      </c>
      <c r="F89" s="14"/>
      <c r="G89" s="14" t="s">
        <v>447</v>
      </c>
      <c r="H89" s="14" t="s">
        <v>175</v>
      </c>
      <c r="I89" s="14" t="s">
        <v>176</v>
      </c>
      <c r="J89" s="14" t="s">
        <v>448</v>
      </c>
      <c r="K89" s="14" t="s">
        <v>40</v>
      </c>
      <c r="L89" s="16" t="s">
        <v>6</v>
      </c>
      <c r="M89" s="14" t="s">
        <v>104</v>
      </c>
      <c r="N89" s="14" t="s">
        <v>105</v>
      </c>
      <c r="O89" s="14"/>
    </row>
    <row r="90" customFormat="false" ht="41.75" hidden="false" customHeight="false" outlineLevel="0" collapsed="false">
      <c r="A90" s="14" t="n">
        <v>89</v>
      </c>
      <c r="B90" s="14" t="s">
        <v>449</v>
      </c>
      <c r="C90" s="14" t="s">
        <v>450</v>
      </c>
      <c r="D90" s="14" t="s">
        <v>188</v>
      </c>
      <c r="E90" s="14" t="s">
        <v>67</v>
      </c>
      <c r="F90" s="14" t="s">
        <v>35</v>
      </c>
      <c r="G90" s="14" t="s">
        <v>451</v>
      </c>
      <c r="H90" s="14" t="s">
        <v>37</v>
      </c>
      <c r="I90" s="14" t="s">
        <v>38</v>
      </c>
      <c r="J90" s="14" t="s">
        <v>452</v>
      </c>
      <c r="K90" s="14" t="s">
        <v>57</v>
      </c>
      <c r="L90" s="15" t="s">
        <v>9</v>
      </c>
      <c r="M90" s="14" t="s">
        <v>453</v>
      </c>
      <c r="N90" s="14" t="s">
        <v>301</v>
      </c>
      <c r="O90" s="14"/>
    </row>
    <row r="91" customFormat="false" ht="55.2" hidden="false" customHeight="false" outlineLevel="0" collapsed="false">
      <c r="A91" s="14" t="n">
        <v>90</v>
      </c>
      <c r="B91" s="14" t="s">
        <v>454</v>
      </c>
      <c r="C91" s="14" t="s">
        <v>455</v>
      </c>
      <c r="D91" s="14" t="s">
        <v>34</v>
      </c>
      <c r="E91" s="14" t="s">
        <v>61</v>
      </c>
      <c r="F91" s="14"/>
      <c r="G91" s="14" t="s">
        <v>456</v>
      </c>
      <c r="H91" s="14" t="s">
        <v>63</v>
      </c>
      <c r="I91" s="14" t="s">
        <v>38</v>
      </c>
      <c r="J91" s="14" t="s">
        <v>457</v>
      </c>
      <c r="K91" s="14" t="s">
        <v>40</v>
      </c>
      <c r="L91" s="16" t="s">
        <v>6</v>
      </c>
      <c r="M91" s="14" t="s">
        <v>104</v>
      </c>
      <c r="N91" s="14" t="s">
        <v>105</v>
      </c>
      <c r="O91" s="14"/>
    </row>
    <row r="92" customFormat="false" ht="55.2" hidden="false" customHeight="false" outlineLevel="0" collapsed="false">
      <c r="A92" s="14" t="n">
        <v>91</v>
      </c>
      <c r="B92" s="14" t="s">
        <v>458</v>
      </c>
      <c r="C92" s="14" t="s">
        <v>459</v>
      </c>
      <c r="D92" s="14" t="s">
        <v>45</v>
      </c>
      <c r="E92" s="14" t="s">
        <v>431</v>
      </c>
      <c r="F92" s="14" t="s">
        <v>460</v>
      </c>
      <c r="G92" s="14" t="s">
        <v>461</v>
      </c>
      <c r="H92" s="14" t="s">
        <v>48</v>
      </c>
      <c r="I92" s="14" t="s">
        <v>433</v>
      </c>
      <c r="J92" s="14" t="s">
        <v>462</v>
      </c>
      <c r="K92" s="14" t="s">
        <v>57</v>
      </c>
      <c r="L92" s="19" t="s">
        <v>10</v>
      </c>
      <c r="M92" s="14" t="s">
        <v>463</v>
      </c>
      <c r="N92" s="14" t="s">
        <v>464</v>
      </c>
      <c r="O92" s="14" t="s">
        <v>254</v>
      </c>
    </row>
    <row r="93" customFormat="false" ht="55.2" hidden="false" customHeight="false" outlineLevel="0" collapsed="false">
      <c r="A93" s="14" t="n">
        <v>92</v>
      </c>
      <c r="B93" s="14" t="s">
        <v>465</v>
      </c>
      <c r="C93" s="14" t="s">
        <v>466</v>
      </c>
      <c r="D93" s="14" t="s">
        <v>46</v>
      </c>
      <c r="E93" s="14" t="s">
        <v>45</v>
      </c>
      <c r="F93" s="14"/>
      <c r="G93" s="14" t="s">
        <v>467</v>
      </c>
      <c r="H93" s="14" t="s">
        <v>175</v>
      </c>
      <c r="I93" s="14" t="s">
        <v>176</v>
      </c>
      <c r="J93" s="14" t="s">
        <v>468</v>
      </c>
      <c r="K93" s="14" t="s">
        <v>40</v>
      </c>
      <c r="L93" s="16" t="s">
        <v>6</v>
      </c>
      <c r="M93" s="14" t="s">
        <v>104</v>
      </c>
      <c r="N93" s="14" t="s">
        <v>105</v>
      </c>
      <c r="O93" s="14"/>
    </row>
    <row r="94" customFormat="false" ht="68.65" hidden="false" customHeight="false" outlineLevel="0" collapsed="false">
      <c r="A94" s="14" t="n">
        <v>93</v>
      </c>
      <c r="B94" s="14" t="s">
        <v>469</v>
      </c>
      <c r="C94" s="14" t="s">
        <v>470</v>
      </c>
      <c r="D94" s="14" t="s">
        <v>45</v>
      </c>
      <c r="E94" s="14" t="s">
        <v>219</v>
      </c>
      <c r="F94" s="14" t="s">
        <v>390</v>
      </c>
      <c r="G94" s="14" t="s">
        <v>471</v>
      </c>
      <c r="H94" s="14" t="s">
        <v>37</v>
      </c>
      <c r="I94" s="14" t="s">
        <v>49</v>
      </c>
      <c r="J94" s="14" t="s">
        <v>472</v>
      </c>
      <c r="K94" s="14" t="s">
        <v>57</v>
      </c>
      <c r="L94" s="17" t="s">
        <v>7</v>
      </c>
      <c r="M94" s="14" t="s">
        <v>473</v>
      </c>
      <c r="N94" s="14" t="s">
        <v>474</v>
      </c>
      <c r="O94" s="14"/>
    </row>
    <row r="95" customFormat="false" ht="55.2" hidden="false" customHeight="false" outlineLevel="0" collapsed="false">
      <c r="A95" s="14" t="n">
        <v>94</v>
      </c>
      <c r="B95" s="14" t="s">
        <v>475</v>
      </c>
      <c r="C95" s="14" t="s">
        <v>476</v>
      </c>
      <c r="D95" s="14" t="s">
        <v>34</v>
      </c>
      <c r="E95" s="14" t="s">
        <v>35</v>
      </c>
      <c r="F95" s="14" t="s">
        <v>219</v>
      </c>
      <c r="G95" s="14" t="s">
        <v>477</v>
      </c>
      <c r="H95" s="14" t="s">
        <v>37</v>
      </c>
      <c r="I95" s="14" t="s">
        <v>38</v>
      </c>
      <c r="J95" s="14" t="s">
        <v>478</v>
      </c>
      <c r="K95" s="14" t="s">
        <v>40</v>
      </c>
      <c r="L95" s="16" t="s">
        <v>6</v>
      </c>
      <c r="M95" s="14" t="s">
        <v>104</v>
      </c>
      <c r="N95" s="14" t="s">
        <v>105</v>
      </c>
      <c r="O95" s="14"/>
    </row>
    <row r="96" customFormat="false" ht="55.2" hidden="false" customHeight="false" outlineLevel="0" collapsed="false">
      <c r="A96" s="14" t="n">
        <v>95</v>
      </c>
      <c r="B96" s="14" t="s">
        <v>479</v>
      </c>
      <c r="C96" s="14" t="s">
        <v>480</v>
      </c>
      <c r="D96" s="14" t="s">
        <v>346</v>
      </c>
      <c r="E96" s="14" t="s">
        <v>45</v>
      </c>
      <c r="F96" s="14"/>
      <c r="G96" s="14" t="s">
        <v>481</v>
      </c>
      <c r="H96" s="14" t="s">
        <v>175</v>
      </c>
      <c r="I96" s="14" t="s">
        <v>176</v>
      </c>
      <c r="J96" s="14" t="s">
        <v>482</v>
      </c>
      <c r="K96" s="14" t="s">
        <v>40</v>
      </c>
      <c r="L96" s="16" t="s">
        <v>6</v>
      </c>
      <c r="M96" s="14" t="s">
        <v>104</v>
      </c>
      <c r="N96" s="14" t="s">
        <v>105</v>
      </c>
      <c r="O96" s="14"/>
    </row>
    <row r="97" customFormat="false" ht="55.2" hidden="false" customHeight="false" outlineLevel="0" collapsed="false">
      <c r="A97" s="14" t="n">
        <v>96</v>
      </c>
      <c r="B97" s="14" t="s">
        <v>483</v>
      </c>
      <c r="C97" s="14" t="s">
        <v>484</v>
      </c>
      <c r="D97" s="14" t="s">
        <v>199</v>
      </c>
      <c r="E97" s="14" t="s">
        <v>35</v>
      </c>
      <c r="F97" s="14" t="s">
        <v>67</v>
      </c>
      <c r="G97" s="14" t="s">
        <v>485</v>
      </c>
      <c r="H97" s="14" t="s">
        <v>201</v>
      </c>
      <c r="I97" s="14" t="s">
        <v>176</v>
      </c>
      <c r="J97" s="14" t="s">
        <v>486</v>
      </c>
      <c r="K97" s="14" t="s">
        <v>57</v>
      </c>
      <c r="L97" s="15" t="s">
        <v>9</v>
      </c>
      <c r="M97" s="14" t="s">
        <v>487</v>
      </c>
      <c r="N97" s="14" t="s">
        <v>488</v>
      </c>
      <c r="O97" s="14"/>
    </row>
    <row r="98" customFormat="false" ht="55.2" hidden="false" customHeight="false" outlineLevel="0" collapsed="false">
      <c r="A98" s="14" t="n">
        <v>97</v>
      </c>
      <c r="B98" s="14" t="s">
        <v>489</v>
      </c>
      <c r="C98" s="14" t="s">
        <v>490</v>
      </c>
      <c r="D98" s="14" t="s">
        <v>45</v>
      </c>
      <c r="E98" s="14" t="s">
        <v>34</v>
      </c>
      <c r="F98" s="14"/>
      <c r="G98" s="14" t="s">
        <v>491</v>
      </c>
      <c r="H98" s="14" t="s">
        <v>63</v>
      </c>
      <c r="I98" s="14" t="s">
        <v>49</v>
      </c>
      <c r="J98" s="14" t="s">
        <v>492</v>
      </c>
      <c r="K98" s="14" t="s">
        <v>40</v>
      </c>
      <c r="L98" s="16" t="s">
        <v>6</v>
      </c>
      <c r="M98" s="14" t="s">
        <v>104</v>
      </c>
      <c r="N98" s="14" t="s">
        <v>105</v>
      </c>
      <c r="O98" s="14"/>
    </row>
    <row r="99" customFormat="false" ht="55.2" hidden="false" customHeight="false" outlineLevel="0" collapsed="false">
      <c r="A99" s="14" t="n">
        <v>98</v>
      </c>
      <c r="B99" s="14" t="s">
        <v>493</v>
      </c>
      <c r="C99" s="14" t="s">
        <v>400</v>
      </c>
      <c r="D99" s="14" t="s">
        <v>34</v>
      </c>
      <c r="E99" s="14" t="s">
        <v>45</v>
      </c>
      <c r="F99" s="14"/>
      <c r="G99" s="14" t="s">
        <v>494</v>
      </c>
      <c r="H99" s="14" t="s">
        <v>37</v>
      </c>
      <c r="I99" s="14" t="s">
        <v>38</v>
      </c>
      <c r="J99" s="14" t="s">
        <v>495</v>
      </c>
      <c r="K99" s="14" t="s">
        <v>40</v>
      </c>
      <c r="L99" s="16" t="s">
        <v>6</v>
      </c>
      <c r="M99" s="14" t="s">
        <v>104</v>
      </c>
      <c r="N99" s="14" t="s">
        <v>105</v>
      </c>
      <c r="O99" s="14"/>
    </row>
    <row r="100" customFormat="false" ht="41.75" hidden="false" customHeight="false" outlineLevel="0" collapsed="false">
      <c r="A100" s="14" t="n">
        <v>99</v>
      </c>
      <c r="B100" s="14" t="s">
        <v>496</v>
      </c>
      <c r="C100" s="14" t="s">
        <v>497</v>
      </c>
      <c r="D100" s="14" t="s">
        <v>46</v>
      </c>
      <c r="E100" s="14" t="s">
        <v>45</v>
      </c>
      <c r="F100" s="14"/>
      <c r="G100" s="14" t="s">
        <v>498</v>
      </c>
      <c r="H100" s="14" t="s">
        <v>175</v>
      </c>
      <c r="I100" s="14" t="s">
        <v>176</v>
      </c>
      <c r="J100" s="14" t="s">
        <v>499</v>
      </c>
      <c r="K100" s="14" t="s">
        <v>40</v>
      </c>
      <c r="L100" s="16" t="s">
        <v>6</v>
      </c>
      <c r="M100" s="14" t="s">
        <v>104</v>
      </c>
      <c r="N100" s="14" t="s">
        <v>105</v>
      </c>
      <c r="O100" s="14"/>
    </row>
    <row r="101" customFormat="false" ht="55.2" hidden="false" customHeight="false" outlineLevel="0" collapsed="false">
      <c r="A101" s="14" t="n">
        <v>100</v>
      </c>
      <c r="B101" s="14" t="s">
        <v>500</v>
      </c>
      <c r="C101" s="14" t="s">
        <v>501</v>
      </c>
      <c r="D101" s="14" t="s">
        <v>219</v>
      </c>
      <c r="E101" s="14" t="s">
        <v>35</v>
      </c>
      <c r="F101" s="14"/>
      <c r="G101" s="14" t="s">
        <v>502</v>
      </c>
      <c r="H101" s="14" t="s">
        <v>37</v>
      </c>
      <c r="I101" s="14" t="s">
        <v>38</v>
      </c>
      <c r="J101" s="14" t="s">
        <v>503</v>
      </c>
      <c r="K101" s="14" t="s">
        <v>40</v>
      </c>
      <c r="L101" s="16" t="s">
        <v>6</v>
      </c>
      <c r="M101" s="14" t="s">
        <v>104</v>
      </c>
      <c r="N101" s="14" t="s">
        <v>105</v>
      </c>
      <c r="O101" s="14"/>
    </row>
    <row r="102" customFormat="false" ht="55.2" hidden="false" customHeight="false" outlineLevel="0" collapsed="false">
      <c r="A102" s="14" t="n">
        <v>101</v>
      </c>
      <c r="B102" s="14" t="s">
        <v>504</v>
      </c>
      <c r="C102" s="14" t="s">
        <v>505</v>
      </c>
      <c r="D102" s="14" t="s">
        <v>45</v>
      </c>
      <c r="E102" s="14" t="s">
        <v>34</v>
      </c>
      <c r="F102" s="14" t="s">
        <v>46</v>
      </c>
      <c r="G102" s="14" t="s">
        <v>506</v>
      </c>
      <c r="H102" s="14" t="s">
        <v>48</v>
      </c>
      <c r="I102" s="14" t="s">
        <v>49</v>
      </c>
      <c r="J102" s="14" t="s">
        <v>507</v>
      </c>
      <c r="K102" s="14" t="s">
        <v>40</v>
      </c>
      <c r="L102" s="16" t="s">
        <v>6</v>
      </c>
      <c r="M102" s="14" t="s">
        <v>104</v>
      </c>
      <c r="N102" s="14" t="s">
        <v>105</v>
      </c>
      <c r="O102" s="14"/>
    </row>
    <row r="103" customFormat="false" ht="82.05" hidden="false" customHeight="false" outlineLevel="0" collapsed="false">
      <c r="A103" s="14" t="n">
        <v>102</v>
      </c>
      <c r="B103" s="14" t="s">
        <v>508</v>
      </c>
      <c r="C103" s="14" t="s">
        <v>268</v>
      </c>
      <c r="D103" s="14" t="s">
        <v>45</v>
      </c>
      <c r="E103" s="14" t="s">
        <v>34</v>
      </c>
      <c r="F103" s="14"/>
      <c r="G103" s="14" t="s">
        <v>509</v>
      </c>
      <c r="H103" s="14" t="s">
        <v>37</v>
      </c>
      <c r="I103" s="14" t="s">
        <v>38</v>
      </c>
      <c r="J103" s="14" t="s">
        <v>510</v>
      </c>
      <c r="K103" s="14" t="s">
        <v>57</v>
      </c>
      <c r="L103" s="19" t="s">
        <v>10</v>
      </c>
      <c r="M103" s="14" t="s">
        <v>511</v>
      </c>
      <c r="N103" s="14" t="s">
        <v>512</v>
      </c>
      <c r="O103" s="14" t="s">
        <v>254</v>
      </c>
    </row>
    <row r="104" customFormat="false" ht="55.2" hidden="false" customHeight="false" outlineLevel="0" collapsed="false">
      <c r="A104" s="14" t="n">
        <v>103</v>
      </c>
      <c r="B104" s="14" t="s">
        <v>513</v>
      </c>
      <c r="C104" s="14" t="s">
        <v>514</v>
      </c>
      <c r="D104" s="14" t="s">
        <v>34</v>
      </c>
      <c r="E104" s="14" t="s">
        <v>61</v>
      </c>
      <c r="F104" s="14"/>
      <c r="G104" s="14" t="s">
        <v>515</v>
      </c>
      <c r="H104" s="14" t="s">
        <v>63</v>
      </c>
      <c r="I104" s="14" t="s">
        <v>38</v>
      </c>
      <c r="J104" s="14" t="s">
        <v>516</v>
      </c>
      <c r="K104" s="14" t="s">
        <v>40</v>
      </c>
      <c r="L104" s="16" t="s">
        <v>6</v>
      </c>
      <c r="M104" s="14" t="s">
        <v>104</v>
      </c>
      <c r="N104" s="14" t="s">
        <v>105</v>
      </c>
      <c r="O104" s="14"/>
    </row>
    <row r="105" customFormat="false" ht="68.65" hidden="false" customHeight="false" outlineLevel="0" collapsed="false">
      <c r="A105" s="14" t="n">
        <v>104</v>
      </c>
      <c r="B105" s="14" t="s">
        <v>517</v>
      </c>
      <c r="C105" s="14" t="s">
        <v>518</v>
      </c>
      <c r="D105" s="14" t="s">
        <v>346</v>
      </c>
      <c r="E105" s="14" t="s">
        <v>519</v>
      </c>
      <c r="F105" s="14"/>
      <c r="G105" s="14" t="s">
        <v>520</v>
      </c>
      <c r="H105" s="14" t="s">
        <v>37</v>
      </c>
      <c r="I105" s="14" t="s">
        <v>176</v>
      </c>
      <c r="J105" s="14" t="s">
        <v>521</v>
      </c>
      <c r="K105" s="14" t="s">
        <v>57</v>
      </c>
      <c r="L105" s="17" t="s">
        <v>7</v>
      </c>
      <c r="M105" s="14" t="s">
        <v>522</v>
      </c>
      <c r="N105" s="14" t="s">
        <v>523</v>
      </c>
      <c r="O105" s="14"/>
    </row>
    <row r="106" customFormat="false" ht="55.2" hidden="false" customHeight="false" outlineLevel="0" collapsed="false">
      <c r="A106" s="14" t="n">
        <v>105</v>
      </c>
      <c r="B106" s="14" t="s">
        <v>524</v>
      </c>
      <c r="C106" s="14" t="s">
        <v>525</v>
      </c>
      <c r="D106" s="14" t="s">
        <v>45</v>
      </c>
      <c r="E106" s="14" t="s">
        <v>34</v>
      </c>
      <c r="F106" s="14"/>
      <c r="G106" s="14" t="s">
        <v>526</v>
      </c>
      <c r="H106" s="14" t="s">
        <v>37</v>
      </c>
      <c r="I106" s="14" t="s">
        <v>38</v>
      </c>
      <c r="J106" s="14" t="s">
        <v>527</v>
      </c>
      <c r="K106" s="14" t="s">
        <v>40</v>
      </c>
      <c r="L106" s="16" t="s">
        <v>6</v>
      </c>
      <c r="M106" s="14" t="s">
        <v>104</v>
      </c>
      <c r="N106" s="14" t="s">
        <v>105</v>
      </c>
      <c r="O106" s="14"/>
    </row>
    <row r="107" customFormat="false" ht="55.2" hidden="false" customHeight="false" outlineLevel="0" collapsed="false">
      <c r="A107" s="14" t="n">
        <v>106</v>
      </c>
      <c r="B107" s="14" t="s">
        <v>528</v>
      </c>
      <c r="C107" s="14" t="s">
        <v>529</v>
      </c>
      <c r="D107" s="14" t="s">
        <v>46</v>
      </c>
      <c r="E107" s="14" t="s">
        <v>45</v>
      </c>
      <c r="F107" s="14"/>
      <c r="G107" s="14" t="s">
        <v>530</v>
      </c>
      <c r="H107" s="14" t="s">
        <v>175</v>
      </c>
      <c r="I107" s="14" t="s">
        <v>176</v>
      </c>
      <c r="J107" s="14" t="s">
        <v>531</v>
      </c>
      <c r="K107" s="14" t="s">
        <v>40</v>
      </c>
      <c r="L107" s="16" t="s">
        <v>6</v>
      </c>
      <c r="M107" s="14" t="s">
        <v>104</v>
      </c>
      <c r="N107" s="14" t="s">
        <v>105</v>
      </c>
      <c r="O107" s="14"/>
    </row>
    <row r="108" customFormat="false" ht="55.2" hidden="false" customHeight="false" outlineLevel="0" collapsed="false">
      <c r="A108" s="14" t="n">
        <v>107</v>
      </c>
      <c r="B108" s="14" t="s">
        <v>532</v>
      </c>
      <c r="C108" s="14" t="s">
        <v>533</v>
      </c>
      <c r="D108" s="14" t="s">
        <v>34</v>
      </c>
      <c r="E108" s="14" t="s">
        <v>35</v>
      </c>
      <c r="F108" s="14"/>
      <c r="G108" s="14" t="s">
        <v>534</v>
      </c>
      <c r="H108" s="14" t="s">
        <v>37</v>
      </c>
      <c r="I108" s="14" t="s">
        <v>38</v>
      </c>
      <c r="J108" s="14" t="s">
        <v>535</v>
      </c>
      <c r="K108" s="14" t="s">
        <v>40</v>
      </c>
      <c r="L108" s="16" t="s">
        <v>6</v>
      </c>
      <c r="M108" s="14" t="s">
        <v>104</v>
      </c>
      <c r="N108" s="14" t="s">
        <v>105</v>
      </c>
      <c r="O108" s="14"/>
    </row>
    <row r="109" customFormat="false" ht="68.65" hidden="false" customHeight="false" outlineLevel="0" collapsed="false">
      <c r="A109" s="14" t="n">
        <v>108</v>
      </c>
      <c r="B109" s="14" t="s">
        <v>536</v>
      </c>
      <c r="C109" s="14" t="s">
        <v>537</v>
      </c>
      <c r="D109" s="14" t="s">
        <v>346</v>
      </c>
      <c r="E109" s="14" t="s">
        <v>519</v>
      </c>
      <c r="F109" s="14"/>
      <c r="G109" s="14" t="s">
        <v>538</v>
      </c>
      <c r="H109" s="14" t="s">
        <v>37</v>
      </c>
      <c r="I109" s="14" t="s">
        <v>176</v>
      </c>
      <c r="J109" s="14" t="s">
        <v>539</v>
      </c>
      <c r="K109" s="14" t="s">
        <v>57</v>
      </c>
      <c r="L109" s="17" t="s">
        <v>7</v>
      </c>
      <c r="M109" s="14" t="s">
        <v>540</v>
      </c>
      <c r="N109" s="14" t="s">
        <v>541</v>
      </c>
      <c r="O109" s="14"/>
    </row>
    <row r="110" customFormat="false" ht="68.65" hidden="false" customHeight="false" outlineLevel="0" collapsed="false">
      <c r="A110" s="14" t="n">
        <v>109</v>
      </c>
      <c r="B110" s="14" t="s">
        <v>542</v>
      </c>
      <c r="C110" s="14" t="s">
        <v>543</v>
      </c>
      <c r="D110" s="14" t="s">
        <v>45</v>
      </c>
      <c r="E110" s="14" t="s">
        <v>34</v>
      </c>
      <c r="F110" s="14" t="s">
        <v>219</v>
      </c>
      <c r="G110" s="14" t="s">
        <v>544</v>
      </c>
      <c r="H110" s="14" t="s">
        <v>48</v>
      </c>
      <c r="I110" s="14" t="s">
        <v>38</v>
      </c>
      <c r="J110" s="14" t="s">
        <v>545</v>
      </c>
      <c r="K110" s="14" t="s">
        <v>40</v>
      </c>
      <c r="L110" s="16" t="s">
        <v>6</v>
      </c>
      <c r="M110" s="14" t="s">
        <v>104</v>
      </c>
      <c r="N110" s="14" t="s">
        <v>105</v>
      </c>
      <c r="O110" s="14"/>
    </row>
    <row r="111" customFormat="false" ht="55.2" hidden="false" customHeight="false" outlineLevel="0" collapsed="false">
      <c r="A111" s="14" t="n">
        <v>110</v>
      </c>
      <c r="B111" s="14" t="s">
        <v>546</v>
      </c>
      <c r="C111" s="14" t="s">
        <v>547</v>
      </c>
      <c r="D111" s="14" t="s">
        <v>45</v>
      </c>
      <c r="E111" s="14" t="s">
        <v>431</v>
      </c>
      <c r="F111" s="14"/>
      <c r="G111" s="14" t="s">
        <v>548</v>
      </c>
      <c r="H111" s="14" t="s">
        <v>549</v>
      </c>
      <c r="I111" s="14" t="s">
        <v>433</v>
      </c>
      <c r="J111" s="14" t="s">
        <v>550</v>
      </c>
      <c r="K111" s="14" t="s">
        <v>40</v>
      </c>
      <c r="L111" s="18" t="s">
        <v>8</v>
      </c>
      <c r="M111" s="14" t="s">
        <v>551</v>
      </c>
      <c r="N111" s="14" t="s">
        <v>552</v>
      </c>
      <c r="O111" s="14"/>
    </row>
    <row r="112" customFormat="false" ht="55.2" hidden="false" customHeight="false" outlineLevel="0" collapsed="false">
      <c r="A112" s="14" t="n">
        <v>111</v>
      </c>
      <c r="B112" s="14" t="s">
        <v>553</v>
      </c>
      <c r="C112" s="14" t="s">
        <v>554</v>
      </c>
      <c r="D112" s="14" t="s">
        <v>45</v>
      </c>
      <c r="E112" s="14" t="s">
        <v>431</v>
      </c>
      <c r="F112" s="14"/>
      <c r="G112" s="14" t="s">
        <v>555</v>
      </c>
      <c r="H112" s="14" t="s">
        <v>48</v>
      </c>
      <c r="I112" s="14" t="s">
        <v>433</v>
      </c>
      <c r="J112" s="14" t="s">
        <v>556</v>
      </c>
      <c r="K112" s="14" t="s">
        <v>40</v>
      </c>
      <c r="L112" s="16" t="s">
        <v>6</v>
      </c>
      <c r="M112" s="14" t="s">
        <v>104</v>
      </c>
      <c r="N112" s="14" t="s">
        <v>105</v>
      </c>
      <c r="O112" s="14"/>
    </row>
    <row r="113" customFormat="false" ht="28.35" hidden="false" customHeight="false" outlineLevel="0" collapsed="false">
      <c r="A113" s="14" t="n">
        <v>112</v>
      </c>
      <c r="B113" s="14" t="s">
        <v>557</v>
      </c>
      <c r="C113" s="14" t="s">
        <v>558</v>
      </c>
      <c r="D113" s="14" t="s">
        <v>67</v>
      </c>
      <c r="E113" s="14" t="s">
        <v>188</v>
      </c>
      <c r="F113" s="14"/>
      <c r="G113" s="14" t="s">
        <v>559</v>
      </c>
      <c r="H113" s="14" t="s">
        <v>37</v>
      </c>
      <c r="I113" s="14" t="s">
        <v>38</v>
      </c>
      <c r="J113" s="14" t="s">
        <v>560</v>
      </c>
      <c r="K113" s="14" t="s">
        <v>57</v>
      </c>
      <c r="L113" s="15" t="s">
        <v>9</v>
      </c>
      <c r="M113" s="14" t="s">
        <v>561</v>
      </c>
      <c r="N113" s="14" t="s">
        <v>301</v>
      </c>
      <c r="O113" s="14"/>
    </row>
    <row r="114" customFormat="false" ht="55.2" hidden="false" customHeight="false" outlineLevel="0" collapsed="false">
      <c r="A114" s="14" t="n">
        <v>113</v>
      </c>
      <c r="B114" s="14" t="s">
        <v>562</v>
      </c>
      <c r="C114" s="14" t="s">
        <v>563</v>
      </c>
      <c r="D114" s="14" t="s">
        <v>45</v>
      </c>
      <c r="E114" s="14" t="s">
        <v>34</v>
      </c>
      <c r="F114" s="14" t="s">
        <v>46</v>
      </c>
      <c r="G114" s="14" t="s">
        <v>564</v>
      </c>
      <c r="H114" s="14" t="s">
        <v>63</v>
      </c>
      <c r="I114" s="14" t="s">
        <v>38</v>
      </c>
      <c r="J114" s="14" t="s">
        <v>565</v>
      </c>
      <c r="K114" s="14" t="s">
        <v>40</v>
      </c>
      <c r="L114" s="16" t="s">
        <v>6</v>
      </c>
      <c r="M114" s="14" t="s">
        <v>104</v>
      </c>
      <c r="N114" s="14" t="s">
        <v>105</v>
      </c>
      <c r="O114" s="14"/>
    </row>
    <row r="115" customFormat="false" ht="55.2" hidden="false" customHeight="false" outlineLevel="0" collapsed="false">
      <c r="A115" s="14" t="n">
        <v>114</v>
      </c>
      <c r="B115" s="14" t="s">
        <v>566</v>
      </c>
      <c r="C115" s="14" t="s">
        <v>567</v>
      </c>
      <c r="D115" s="14" t="s">
        <v>219</v>
      </c>
      <c r="E115" s="14" t="s">
        <v>67</v>
      </c>
      <c r="F115" s="14" t="s">
        <v>35</v>
      </c>
      <c r="G115" s="14" t="s">
        <v>568</v>
      </c>
      <c r="H115" s="14" t="s">
        <v>37</v>
      </c>
      <c r="I115" s="14" t="s">
        <v>38</v>
      </c>
      <c r="J115" s="14" t="s">
        <v>569</v>
      </c>
      <c r="K115" s="14" t="s">
        <v>40</v>
      </c>
      <c r="L115" s="16" t="s">
        <v>6</v>
      </c>
      <c r="M115" s="14" t="s">
        <v>104</v>
      </c>
      <c r="N115" s="14" t="s">
        <v>105</v>
      </c>
      <c r="O115" s="14"/>
    </row>
    <row r="116" customFormat="false" ht="55.2" hidden="false" customHeight="false" outlineLevel="0" collapsed="false">
      <c r="A116" s="14" t="n">
        <v>115</v>
      </c>
      <c r="B116" s="14" t="s">
        <v>570</v>
      </c>
      <c r="C116" s="14" t="s">
        <v>571</v>
      </c>
      <c r="D116" s="14" t="s">
        <v>46</v>
      </c>
      <c r="E116" s="14" t="s">
        <v>45</v>
      </c>
      <c r="F116" s="14"/>
      <c r="G116" s="14" t="s">
        <v>572</v>
      </c>
      <c r="H116" s="14" t="s">
        <v>175</v>
      </c>
      <c r="I116" s="14" t="s">
        <v>176</v>
      </c>
      <c r="J116" s="14" t="s">
        <v>573</v>
      </c>
      <c r="K116" s="14" t="s">
        <v>40</v>
      </c>
      <c r="L116" s="16" t="s">
        <v>6</v>
      </c>
      <c r="M116" s="14" t="s">
        <v>104</v>
      </c>
      <c r="N116" s="14" t="s">
        <v>105</v>
      </c>
      <c r="O116" s="14"/>
    </row>
    <row r="117" customFormat="false" ht="55.2" hidden="false" customHeight="false" outlineLevel="0" collapsed="false">
      <c r="A117" s="14" t="n">
        <v>116</v>
      </c>
      <c r="B117" s="14" t="s">
        <v>574</v>
      </c>
      <c r="C117" s="14" t="s">
        <v>575</v>
      </c>
      <c r="D117" s="14" t="s">
        <v>45</v>
      </c>
      <c r="E117" s="14" t="s">
        <v>431</v>
      </c>
      <c r="F117" s="14"/>
      <c r="G117" s="14" t="s">
        <v>576</v>
      </c>
      <c r="H117" s="14" t="s">
        <v>37</v>
      </c>
      <c r="I117" s="14" t="s">
        <v>433</v>
      </c>
      <c r="J117" s="14" t="s">
        <v>577</v>
      </c>
      <c r="K117" s="14" t="s">
        <v>40</v>
      </c>
      <c r="L117" s="16" t="s">
        <v>6</v>
      </c>
      <c r="M117" s="14" t="s">
        <v>104</v>
      </c>
      <c r="N117" s="14" t="s">
        <v>105</v>
      </c>
      <c r="O117" s="14"/>
    </row>
    <row r="118" customFormat="false" ht="55.2" hidden="false" customHeight="false" outlineLevel="0" collapsed="false">
      <c r="A118" s="14" t="n">
        <v>117</v>
      </c>
      <c r="B118" s="14" t="s">
        <v>578</v>
      </c>
      <c r="C118" s="14" t="s">
        <v>579</v>
      </c>
      <c r="D118" s="14" t="s">
        <v>34</v>
      </c>
      <c r="E118" s="14" t="s">
        <v>45</v>
      </c>
      <c r="F118" s="14"/>
      <c r="G118" s="14" t="s">
        <v>580</v>
      </c>
      <c r="H118" s="14" t="s">
        <v>37</v>
      </c>
      <c r="I118" s="14" t="s">
        <v>38</v>
      </c>
      <c r="J118" s="14" t="s">
        <v>581</v>
      </c>
      <c r="K118" s="14" t="s">
        <v>40</v>
      </c>
      <c r="L118" s="16" t="s">
        <v>6</v>
      </c>
      <c r="M118" s="14" t="s">
        <v>104</v>
      </c>
      <c r="N118" s="14" t="s">
        <v>105</v>
      </c>
      <c r="O118" s="14"/>
    </row>
    <row r="119" customFormat="false" ht="55.2" hidden="false" customHeight="false" outlineLevel="0" collapsed="false">
      <c r="A119" s="14" t="n">
        <v>118</v>
      </c>
      <c r="B119" s="14" t="s">
        <v>582</v>
      </c>
      <c r="C119" s="14" t="s">
        <v>583</v>
      </c>
      <c r="D119" s="14" t="s">
        <v>346</v>
      </c>
      <c r="E119" s="14" t="s">
        <v>45</v>
      </c>
      <c r="F119" s="14" t="s">
        <v>46</v>
      </c>
      <c r="G119" s="14" t="s">
        <v>584</v>
      </c>
      <c r="H119" s="14" t="s">
        <v>63</v>
      </c>
      <c r="I119" s="14" t="s">
        <v>176</v>
      </c>
      <c r="J119" s="14" t="s">
        <v>585</v>
      </c>
      <c r="K119" s="14" t="s">
        <v>40</v>
      </c>
      <c r="L119" s="16" t="s">
        <v>6</v>
      </c>
      <c r="M119" s="14" t="s">
        <v>104</v>
      </c>
      <c r="N119" s="14" t="s">
        <v>105</v>
      </c>
      <c r="O119" s="14"/>
    </row>
    <row r="120" customFormat="false" ht="41.75" hidden="false" customHeight="false" outlineLevel="0" collapsed="false">
      <c r="A120" s="14" t="n">
        <v>119</v>
      </c>
      <c r="B120" s="14" t="s">
        <v>586</v>
      </c>
      <c r="C120" s="14" t="s">
        <v>470</v>
      </c>
      <c r="D120" s="14" t="s">
        <v>67</v>
      </c>
      <c r="E120" s="14" t="s">
        <v>34</v>
      </c>
      <c r="F120" s="14"/>
      <c r="G120" s="14" t="s">
        <v>587</v>
      </c>
      <c r="H120" s="14" t="s">
        <v>37</v>
      </c>
      <c r="I120" s="14" t="s">
        <v>38</v>
      </c>
      <c r="J120" s="14" t="s">
        <v>588</v>
      </c>
      <c r="K120" s="14" t="s">
        <v>57</v>
      </c>
      <c r="L120" s="18" t="s">
        <v>8</v>
      </c>
      <c r="M120" s="14" t="s">
        <v>589</v>
      </c>
      <c r="N120" s="14" t="s">
        <v>590</v>
      </c>
      <c r="O120" s="14" t="s">
        <v>254</v>
      </c>
    </row>
    <row r="121" customFormat="false" ht="55.2" hidden="false" customHeight="false" outlineLevel="0" collapsed="false">
      <c r="A121" s="14" t="n">
        <v>120</v>
      </c>
      <c r="B121" s="14" t="s">
        <v>591</v>
      </c>
      <c r="C121" s="14" t="s">
        <v>592</v>
      </c>
      <c r="D121" s="14" t="s">
        <v>45</v>
      </c>
      <c r="E121" s="14" t="s">
        <v>34</v>
      </c>
      <c r="F121" s="14"/>
      <c r="G121" s="14" t="s">
        <v>593</v>
      </c>
      <c r="H121" s="14" t="s">
        <v>63</v>
      </c>
      <c r="I121" s="14" t="s">
        <v>38</v>
      </c>
      <c r="J121" s="14" t="s">
        <v>594</v>
      </c>
      <c r="K121" s="14" t="s">
        <v>40</v>
      </c>
      <c r="L121" s="16" t="s">
        <v>6</v>
      </c>
      <c r="M121" s="14" t="s">
        <v>104</v>
      </c>
      <c r="N121" s="14" t="s">
        <v>105</v>
      </c>
      <c r="O121" s="14"/>
    </row>
    <row r="122" customFormat="false" ht="55.2" hidden="false" customHeight="false" outlineLevel="0" collapsed="false">
      <c r="A122" s="14" t="n">
        <v>121</v>
      </c>
      <c r="B122" s="14" t="s">
        <v>595</v>
      </c>
      <c r="C122" s="14" t="s">
        <v>596</v>
      </c>
      <c r="D122" s="14" t="s">
        <v>219</v>
      </c>
      <c r="E122" s="14" t="s">
        <v>297</v>
      </c>
      <c r="F122" s="14"/>
      <c r="G122" s="14" t="s">
        <v>597</v>
      </c>
      <c r="H122" s="14" t="s">
        <v>37</v>
      </c>
      <c r="I122" s="14" t="s">
        <v>38</v>
      </c>
      <c r="J122" s="14" t="s">
        <v>598</v>
      </c>
      <c r="K122" s="14" t="s">
        <v>40</v>
      </c>
      <c r="L122" s="18" t="s">
        <v>8</v>
      </c>
      <c r="M122" s="14" t="s">
        <v>599</v>
      </c>
      <c r="N122" s="14" t="s">
        <v>600</v>
      </c>
      <c r="O122" s="14"/>
    </row>
    <row r="123" customFormat="false" ht="55.2" hidden="false" customHeight="false" outlineLevel="0" collapsed="false">
      <c r="A123" s="14" t="n">
        <v>122</v>
      </c>
      <c r="B123" s="14" t="s">
        <v>601</v>
      </c>
      <c r="C123" s="14" t="s">
        <v>602</v>
      </c>
      <c r="D123" s="14" t="s">
        <v>46</v>
      </c>
      <c r="E123" s="14" t="s">
        <v>45</v>
      </c>
      <c r="F123" s="14"/>
      <c r="G123" s="14" t="s">
        <v>603</v>
      </c>
      <c r="H123" s="14" t="s">
        <v>175</v>
      </c>
      <c r="I123" s="14" t="s">
        <v>176</v>
      </c>
      <c r="J123" s="14" t="s">
        <v>604</v>
      </c>
      <c r="K123" s="14" t="s">
        <v>40</v>
      </c>
      <c r="L123" s="16" t="s">
        <v>6</v>
      </c>
      <c r="M123" s="14" t="s">
        <v>104</v>
      </c>
      <c r="N123" s="14" t="s">
        <v>105</v>
      </c>
      <c r="O123" s="14"/>
    </row>
    <row r="124" customFormat="false" ht="55.2" hidden="false" customHeight="false" outlineLevel="0" collapsed="false">
      <c r="A124" s="14" t="n">
        <v>123</v>
      </c>
      <c r="B124" s="14" t="s">
        <v>605</v>
      </c>
      <c r="C124" s="14" t="s">
        <v>606</v>
      </c>
      <c r="D124" s="14" t="s">
        <v>45</v>
      </c>
      <c r="E124" s="14" t="s">
        <v>34</v>
      </c>
      <c r="F124" s="14"/>
      <c r="G124" s="14" t="s">
        <v>607</v>
      </c>
      <c r="H124" s="14" t="s">
        <v>37</v>
      </c>
      <c r="I124" s="14" t="s">
        <v>38</v>
      </c>
      <c r="J124" s="14" t="s">
        <v>608</v>
      </c>
      <c r="K124" s="14" t="s">
        <v>40</v>
      </c>
      <c r="L124" s="16" t="s">
        <v>6</v>
      </c>
      <c r="M124" s="14" t="s">
        <v>104</v>
      </c>
      <c r="N124" s="14" t="s">
        <v>105</v>
      </c>
      <c r="O124" s="14"/>
    </row>
    <row r="125" customFormat="false" ht="55.2" hidden="false" customHeight="false" outlineLevel="0" collapsed="false">
      <c r="A125" s="14" t="n">
        <v>124</v>
      </c>
      <c r="B125" s="14" t="s">
        <v>609</v>
      </c>
      <c r="C125" s="14" t="s">
        <v>610</v>
      </c>
      <c r="D125" s="14" t="s">
        <v>34</v>
      </c>
      <c r="E125" s="14" t="s">
        <v>35</v>
      </c>
      <c r="F125" s="14" t="s">
        <v>219</v>
      </c>
      <c r="G125" s="14" t="s">
        <v>611</v>
      </c>
      <c r="H125" s="14" t="s">
        <v>37</v>
      </c>
      <c r="I125" s="14" t="s">
        <v>38</v>
      </c>
      <c r="J125" s="14" t="s">
        <v>612</v>
      </c>
      <c r="K125" s="14" t="s">
        <v>40</v>
      </c>
      <c r="L125" s="16" t="s">
        <v>6</v>
      </c>
      <c r="M125" s="14" t="s">
        <v>104</v>
      </c>
      <c r="N125" s="14" t="s">
        <v>105</v>
      </c>
      <c r="O125" s="14"/>
    </row>
    <row r="126" customFormat="false" ht="55.2" hidden="false" customHeight="false" outlineLevel="0" collapsed="false">
      <c r="A126" s="14" t="n">
        <v>125</v>
      </c>
      <c r="B126" s="14" t="s">
        <v>613</v>
      </c>
      <c r="C126" s="14" t="s">
        <v>614</v>
      </c>
      <c r="D126" s="14" t="s">
        <v>45</v>
      </c>
      <c r="E126" s="14" t="s">
        <v>431</v>
      </c>
      <c r="F126" s="14" t="s">
        <v>460</v>
      </c>
      <c r="G126" s="14" t="s">
        <v>615</v>
      </c>
      <c r="H126" s="14" t="s">
        <v>48</v>
      </c>
      <c r="I126" s="14" t="s">
        <v>433</v>
      </c>
      <c r="J126" s="14" t="s">
        <v>616</v>
      </c>
      <c r="K126" s="14" t="s">
        <v>40</v>
      </c>
      <c r="L126" s="16" t="s">
        <v>6</v>
      </c>
      <c r="M126" s="14" t="s">
        <v>104</v>
      </c>
      <c r="N126" s="14" t="s">
        <v>105</v>
      </c>
      <c r="O126" s="14"/>
    </row>
    <row r="127" customFormat="false" ht="55.2" hidden="false" customHeight="false" outlineLevel="0" collapsed="false">
      <c r="A127" s="14" t="n">
        <v>126</v>
      </c>
      <c r="B127" s="14" t="s">
        <v>617</v>
      </c>
      <c r="C127" s="14" t="s">
        <v>618</v>
      </c>
      <c r="D127" s="14" t="s">
        <v>346</v>
      </c>
      <c r="E127" s="14" t="s">
        <v>45</v>
      </c>
      <c r="F127" s="14"/>
      <c r="G127" s="14" t="s">
        <v>619</v>
      </c>
      <c r="H127" s="14" t="s">
        <v>175</v>
      </c>
      <c r="I127" s="14" t="s">
        <v>176</v>
      </c>
      <c r="J127" s="14" t="s">
        <v>620</v>
      </c>
      <c r="K127" s="14" t="s">
        <v>40</v>
      </c>
      <c r="L127" s="16" t="s">
        <v>6</v>
      </c>
      <c r="M127" s="14" t="s">
        <v>104</v>
      </c>
      <c r="N127" s="14" t="s">
        <v>105</v>
      </c>
      <c r="O127" s="14"/>
    </row>
    <row r="128" customFormat="false" ht="55.2" hidden="false" customHeight="false" outlineLevel="0" collapsed="false">
      <c r="A128" s="14" t="n">
        <v>127</v>
      </c>
      <c r="B128" s="14" t="s">
        <v>621</v>
      </c>
      <c r="C128" s="14" t="s">
        <v>622</v>
      </c>
      <c r="D128" s="14" t="s">
        <v>34</v>
      </c>
      <c r="E128" s="14" t="s">
        <v>45</v>
      </c>
      <c r="F128" s="14"/>
      <c r="G128" s="14" t="s">
        <v>623</v>
      </c>
      <c r="H128" s="14" t="s">
        <v>37</v>
      </c>
      <c r="I128" s="14" t="s">
        <v>38</v>
      </c>
      <c r="J128" s="14" t="s">
        <v>624</v>
      </c>
      <c r="K128" s="14" t="s">
        <v>40</v>
      </c>
      <c r="L128" s="16" t="s">
        <v>6</v>
      </c>
      <c r="M128" s="14" t="s">
        <v>104</v>
      </c>
      <c r="N128" s="14" t="s">
        <v>105</v>
      </c>
      <c r="O128" s="14"/>
    </row>
    <row r="129" customFormat="false" ht="68.65" hidden="false" customHeight="false" outlineLevel="0" collapsed="false">
      <c r="A129" s="14" t="n">
        <v>128</v>
      </c>
      <c r="B129" s="14" t="s">
        <v>625</v>
      </c>
      <c r="C129" s="14" t="s">
        <v>626</v>
      </c>
      <c r="D129" s="14" t="s">
        <v>34</v>
      </c>
      <c r="E129" s="14" t="s">
        <v>61</v>
      </c>
      <c r="F129" s="14"/>
      <c r="G129" s="14" t="s">
        <v>627</v>
      </c>
      <c r="H129" s="14" t="s">
        <v>63</v>
      </c>
      <c r="I129" s="14" t="s">
        <v>38</v>
      </c>
      <c r="J129" s="14" t="s">
        <v>628</v>
      </c>
      <c r="K129" s="14" t="s">
        <v>57</v>
      </c>
      <c r="L129" s="19" t="s">
        <v>10</v>
      </c>
      <c r="M129" s="14" t="s">
        <v>629</v>
      </c>
      <c r="N129" s="14" t="s">
        <v>630</v>
      </c>
      <c r="O129" s="14" t="s">
        <v>254</v>
      </c>
    </row>
    <row r="130" customFormat="false" ht="55.2" hidden="false" customHeight="false" outlineLevel="0" collapsed="false">
      <c r="A130" s="14" t="n">
        <v>129</v>
      </c>
      <c r="B130" s="14" t="s">
        <v>631</v>
      </c>
      <c r="C130" s="14" t="s">
        <v>632</v>
      </c>
      <c r="D130" s="14" t="s">
        <v>45</v>
      </c>
      <c r="E130" s="14" t="s">
        <v>34</v>
      </c>
      <c r="F130" s="14" t="s">
        <v>219</v>
      </c>
      <c r="G130" s="14" t="s">
        <v>633</v>
      </c>
      <c r="H130" s="14" t="s">
        <v>37</v>
      </c>
      <c r="I130" s="14" t="s">
        <v>38</v>
      </c>
      <c r="J130" s="14" t="s">
        <v>634</v>
      </c>
      <c r="K130" s="14" t="s">
        <v>40</v>
      </c>
      <c r="L130" s="16" t="s">
        <v>6</v>
      </c>
      <c r="M130" s="14" t="s">
        <v>104</v>
      </c>
      <c r="N130" s="14" t="s">
        <v>105</v>
      </c>
      <c r="O130" s="14"/>
    </row>
    <row r="131" customFormat="false" ht="55.2" hidden="false" customHeight="false" outlineLevel="0" collapsed="false">
      <c r="A131" s="14" t="n">
        <v>130</v>
      </c>
      <c r="B131" s="14" t="s">
        <v>635</v>
      </c>
      <c r="C131" s="14" t="s">
        <v>636</v>
      </c>
      <c r="D131" s="14" t="s">
        <v>46</v>
      </c>
      <c r="E131" s="14" t="s">
        <v>45</v>
      </c>
      <c r="F131" s="14"/>
      <c r="G131" s="14" t="s">
        <v>637</v>
      </c>
      <c r="H131" s="14" t="s">
        <v>63</v>
      </c>
      <c r="I131" s="14" t="s">
        <v>176</v>
      </c>
      <c r="J131" s="14" t="s">
        <v>638</v>
      </c>
      <c r="K131" s="14" t="s">
        <v>40</v>
      </c>
      <c r="L131" s="16" t="s">
        <v>6</v>
      </c>
      <c r="M131" s="14" t="s">
        <v>104</v>
      </c>
      <c r="N131" s="14" t="s">
        <v>105</v>
      </c>
      <c r="O131" s="14"/>
    </row>
    <row r="132" customFormat="false" ht="55.2" hidden="false" customHeight="false" outlineLevel="0" collapsed="false">
      <c r="A132" s="14" t="n">
        <v>131</v>
      </c>
      <c r="B132" s="14" t="s">
        <v>639</v>
      </c>
      <c r="C132" s="14" t="s">
        <v>640</v>
      </c>
      <c r="D132" s="14" t="s">
        <v>34</v>
      </c>
      <c r="E132" s="14" t="s">
        <v>67</v>
      </c>
      <c r="F132" s="14"/>
      <c r="G132" s="14" t="s">
        <v>641</v>
      </c>
      <c r="H132" s="14" t="s">
        <v>37</v>
      </c>
      <c r="I132" s="14" t="s">
        <v>38</v>
      </c>
      <c r="J132" s="14" t="s">
        <v>642</v>
      </c>
      <c r="K132" s="14" t="s">
        <v>40</v>
      </c>
      <c r="L132" s="16" t="s">
        <v>6</v>
      </c>
      <c r="M132" s="14" t="s">
        <v>104</v>
      </c>
      <c r="N132" s="14" t="s">
        <v>105</v>
      </c>
      <c r="O132" s="14"/>
    </row>
    <row r="133" customFormat="false" ht="55.2" hidden="false" customHeight="false" outlineLevel="0" collapsed="false">
      <c r="A133" s="14" t="n">
        <v>132</v>
      </c>
      <c r="B133" s="14" t="s">
        <v>643</v>
      </c>
      <c r="C133" s="14" t="s">
        <v>644</v>
      </c>
      <c r="D133" s="14" t="s">
        <v>45</v>
      </c>
      <c r="E133" s="14" t="s">
        <v>34</v>
      </c>
      <c r="F133" s="14"/>
      <c r="G133" s="14" t="s">
        <v>645</v>
      </c>
      <c r="H133" s="14" t="s">
        <v>37</v>
      </c>
      <c r="I133" s="14" t="s">
        <v>38</v>
      </c>
      <c r="J133" s="14" t="s">
        <v>646</v>
      </c>
      <c r="K133" s="14" t="s">
        <v>40</v>
      </c>
      <c r="L133" s="16" t="s">
        <v>6</v>
      </c>
      <c r="M133" s="14" t="s">
        <v>104</v>
      </c>
      <c r="N133" s="14" t="s">
        <v>105</v>
      </c>
      <c r="O133" s="14"/>
    </row>
    <row r="134" customFormat="false" ht="55.2" hidden="false" customHeight="false" outlineLevel="0" collapsed="false">
      <c r="A134" s="14" t="n">
        <v>133</v>
      </c>
      <c r="B134" s="14" t="s">
        <v>647</v>
      </c>
      <c r="C134" s="14" t="s">
        <v>648</v>
      </c>
      <c r="D134" s="14" t="s">
        <v>219</v>
      </c>
      <c r="E134" s="14" t="s">
        <v>35</v>
      </c>
      <c r="F134" s="14"/>
      <c r="G134" s="14" t="s">
        <v>649</v>
      </c>
      <c r="H134" s="14" t="s">
        <v>37</v>
      </c>
      <c r="I134" s="14" t="s">
        <v>38</v>
      </c>
      <c r="J134" s="14" t="s">
        <v>650</v>
      </c>
      <c r="K134" s="14" t="s">
        <v>40</v>
      </c>
      <c r="L134" s="16" t="s">
        <v>6</v>
      </c>
      <c r="M134" s="14" t="s">
        <v>104</v>
      </c>
      <c r="N134" s="14" t="s">
        <v>105</v>
      </c>
      <c r="O134" s="14"/>
    </row>
    <row r="135" customFormat="false" ht="55.2" hidden="false" customHeight="false" outlineLevel="0" collapsed="false">
      <c r="A135" s="14" t="n">
        <v>134</v>
      </c>
      <c r="B135" s="14" t="s">
        <v>651</v>
      </c>
      <c r="C135" s="14" t="s">
        <v>652</v>
      </c>
      <c r="D135" s="14" t="s">
        <v>199</v>
      </c>
      <c r="E135" s="14" t="s">
        <v>35</v>
      </c>
      <c r="F135" s="14" t="s">
        <v>34</v>
      </c>
      <c r="G135" s="14" t="s">
        <v>653</v>
      </c>
      <c r="H135" s="14" t="s">
        <v>201</v>
      </c>
      <c r="I135" s="14" t="s">
        <v>176</v>
      </c>
      <c r="J135" s="14" t="s">
        <v>654</v>
      </c>
      <c r="K135" s="14" t="s">
        <v>57</v>
      </c>
      <c r="L135" s="15" t="s">
        <v>9</v>
      </c>
      <c r="M135" s="14" t="s">
        <v>655</v>
      </c>
      <c r="N135" s="14" t="s">
        <v>488</v>
      </c>
      <c r="O135" s="14"/>
    </row>
    <row r="136" customFormat="false" ht="55.2" hidden="false" customHeight="false" outlineLevel="0" collapsed="false">
      <c r="A136" s="14" t="n">
        <v>135</v>
      </c>
      <c r="B136" s="14" t="s">
        <v>656</v>
      </c>
      <c r="C136" s="14" t="s">
        <v>657</v>
      </c>
      <c r="D136" s="14" t="s">
        <v>45</v>
      </c>
      <c r="E136" s="14" t="s">
        <v>431</v>
      </c>
      <c r="F136" s="14"/>
      <c r="G136" s="14" t="s">
        <v>658</v>
      </c>
      <c r="H136" s="14" t="s">
        <v>37</v>
      </c>
      <c r="I136" s="14" t="s">
        <v>433</v>
      </c>
      <c r="J136" s="14" t="s">
        <v>659</v>
      </c>
      <c r="K136" s="14" t="s">
        <v>40</v>
      </c>
      <c r="L136" s="16" t="s">
        <v>6</v>
      </c>
      <c r="M136" s="14" t="s">
        <v>104</v>
      </c>
      <c r="N136" s="14" t="s">
        <v>105</v>
      </c>
      <c r="O136" s="14"/>
    </row>
    <row r="137" customFormat="false" ht="55.2" hidden="false" customHeight="false" outlineLevel="0" collapsed="false">
      <c r="A137" s="14" t="n">
        <v>136</v>
      </c>
      <c r="B137" s="14" t="s">
        <v>660</v>
      </c>
      <c r="C137" s="14" t="s">
        <v>661</v>
      </c>
      <c r="D137" s="14" t="s">
        <v>46</v>
      </c>
      <c r="E137" s="14" t="s">
        <v>45</v>
      </c>
      <c r="F137" s="14" t="s">
        <v>346</v>
      </c>
      <c r="G137" s="14" t="s">
        <v>662</v>
      </c>
      <c r="H137" s="14" t="s">
        <v>175</v>
      </c>
      <c r="I137" s="14" t="s">
        <v>176</v>
      </c>
      <c r="J137" s="14" t="s">
        <v>663</v>
      </c>
      <c r="K137" s="14" t="s">
        <v>40</v>
      </c>
      <c r="L137" s="16" t="s">
        <v>6</v>
      </c>
      <c r="M137" s="14" t="s">
        <v>104</v>
      </c>
      <c r="N137" s="14" t="s">
        <v>105</v>
      </c>
      <c r="O137" s="14"/>
    </row>
    <row r="138" customFormat="false" ht="55.2" hidden="false" customHeight="false" outlineLevel="0" collapsed="false">
      <c r="A138" s="14" t="n">
        <v>137</v>
      </c>
      <c r="B138" s="14" t="s">
        <v>664</v>
      </c>
      <c r="C138" s="14" t="s">
        <v>665</v>
      </c>
      <c r="D138" s="14" t="s">
        <v>34</v>
      </c>
      <c r="E138" s="14" t="s">
        <v>61</v>
      </c>
      <c r="F138" s="14"/>
      <c r="G138" s="14" t="s">
        <v>666</v>
      </c>
      <c r="H138" s="14" t="s">
        <v>63</v>
      </c>
      <c r="I138" s="14" t="s">
        <v>38</v>
      </c>
      <c r="J138" s="14" t="s">
        <v>667</v>
      </c>
      <c r="K138" s="14" t="s">
        <v>40</v>
      </c>
      <c r="L138" s="16" t="s">
        <v>6</v>
      </c>
      <c r="M138" s="14" t="s">
        <v>104</v>
      </c>
      <c r="N138" s="14" t="s">
        <v>105</v>
      </c>
      <c r="O138" s="14"/>
    </row>
    <row r="139" customFormat="false" ht="55.2" hidden="false" customHeight="false" outlineLevel="0" collapsed="false">
      <c r="A139" s="14" t="n">
        <v>138</v>
      </c>
      <c r="B139" s="14" t="s">
        <v>668</v>
      </c>
      <c r="C139" s="14" t="s">
        <v>669</v>
      </c>
      <c r="D139" s="14" t="s">
        <v>45</v>
      </c>
      <c r="E139" s="14" t="s">
        <v>34</v>
      </c>
      <c r="F139" s="14"/>
      <c r="G139" s="14" t="s">
        <v>670</v>
      </c>
      <c r="H139" s="14" t="s">
        <v>63</v>
      </c>
      <c r="I139" s="14" t="s">
        <v>49</v>
      </c>
      <c r="J139" s="14" t="s">
        <v>671</v>
      </c>
      <c r="K139" s="14" t="s">
        <v>40</v>
      </c>
      <c r="L139" s="16" t="s">
        <v>6</v>
      </c>
      <c r="M139" s="14" t="s">
        <v>104</v>
      </c>
      <c r="N139" s="14" t="s">
        <v>105</v>
      </c>
      <c r="O139" s="14"/>
    </row>
    <row r="140" customFormat="false" ht="55.2" hidden="false" customHeight="false" outlineLevel="0" collapsed="false">
      <c r="A140" s="14" t="n">
        <v>139</v>
      </c>
      <c r="B140" s="14" t="s">
        <v>672</v>
      </c>
      <c r="C140" s="14" t="s">
        <v>673</v>
      </c>
      <c r="D140" s="14" t="s">
        <v>219</v>
      </c>
      <c r="E140" s="14" t="s">
        <v>67</v>
      </c>
      <c r="F140" s="14"/>
      <c r="G140" s="14" t="s">
        <v>674</v>
      </c>
      <c r="H140" s="14" t="s">
        <v>37</v>
      </c>
      <c r="I140" s="14" t="s">
        <v>38</v>
      </c>
      <c r="J140" s="14" t="s">
        <v>675</v>
      </c>
      <c r="K140" s="14" t="s">
        <v>40</v>
      </c>
      <c r="L140" s="16" t="s">
        <v>6</v>
      </c>
      <c r="M140" s="14" t="s">
        <v>104</v>
      </c>
      <c r="N140" s="14" t="s">
        <v>105</v>
      </c>
      <c r="O140" s="14"/>
    </row>
    <row r="141" customFormat="false" ht="55.2" hidden="false" customHeight="false" outlineLevel="0" collapsed="false">
      <c r="A141" s="14" t="n">
        <v>140</v>
      </c>
      <c r="B141" s="14" t="s">
        <v>676</v>
      </c>
      <c r="C141" s="14" t="s">
        <v>677</v>
      </c>
      <c r="D141" s="14" t="s">
        <v>45</v>
      </c>
      <c r="E141" s="14" t="s">
        <v>431</v>
      </c>
      <c r="F141" s="14" t="s">
        <v>460</v>
      </c>
      <c r="G141" s="14" t="s">
        <v>678</v>
      </c>
      <c r="H141" s="14" t="s">
        <v>37</v>
      </c>
      <c r="I141" s="14" t="s">
        <v>433</v>
      </c>
      <c r="J141" s="14" t="s">
        <v>679</v>
      </c>
      <c r="K141" s="14" t="s">
        <v>40</v>
      </c>
      <c r="L141" s="16" t="s">
        <v>6</v>
      </c>
      <c r="M141" s="14" t="s">
        <v>104</v>
      </c>
      <c r="N141" s="14" t="s">
        <v>105</v>
      </c>
      <c r="O141" s="14"/>
    </row>
    <row r="142" customFormat="false" ht="41.75" hidden="false" customHeight="false" outlineLevel="0" collapsed="false">
      <c r="A142" s="14" t="n">
        <v>141</v>
      </c>
      <c r="B142" s="14" t="s">
        <v>680</v>
      </c>
      <c r="C142" s="14" t="s">
        <v>681</v>
      </c>
      <c r="D142" s="14" t="s">
        <v>188</v>
      </c>
      <c r="E142" s="14" t="s">
        <v>61</v>
      </c>
      <c r="F142" s="14"/>
      <c r="G142" s="14" t="s">
        <v>682</v>
      </c>
      <c r="H142" s="14" t="s">
        <v>37</v>
      </c>
      <c r="I142" s="14" t="s">
        <v>38</v>
      </c>
      <c r="J142" s="14" t="s">
        <v>683</v>
      </c>
      <c r="K142" s="14" t="s">
        <v>57</v>
      </c>
      <c r="L142" s="15" t="s">
        <v>9</v>
      </c>
      <c r="M142" s="14" t="s">
        <v>684</v>
      </c>
      <c r="N142" s="14" t="s">
        <v>301</v>
      </c>
      <c r="O142" s="14"/>
    </row>
    <row r="143" customFormat="false" ht="55.2" hidden="false" customHeight="false" outlineLevel="0" collapsed="false">
      <c r="A143" s="14" t="n">
        <v>142</v>
      </c>
      <c r="B143" s="14" t="s">
        <v>685</v>
      </c>
      <c r="C143" s="14" t="s">
        <v>686</v>
      </c>
      <c r="D143" s="14" t="s">
        <v>46</v>
      </c>
      <c r="E143" s="14" t="s">
        <v>45</v>
      </c>
      <c r="F143" s="14"/>
      <c r="G143" s="14" t="s">
        <v>687</v>
      </c>
      <c r="H143" s="14" t="s">
        <v>175</v>
      </c>
      <c r="I143" s="14" t="s">
        <v>176</v>
      </c>
      <c r="J143" s="14" t="s">
        <v>688</v>
      </c>
      <c r="K143" s="14" t="s">
        <v>40</v>
      </c>
      <c r="L143" s="16" t="s">
        <v>6</v>
      </c>
      <c r="M143" s="14" t="s">
        <v>104</v>
      </c>
      <c r="N143" s="14" t="s">
        <v>105</v>
      </c>
      <c r="O143" s="14"/>
    </row>
    <row r="144" customFormat="false" ht="55.2" hidden="false" customHeight="false" outlineLevel="0" collapsed="false">
      <c r="A144" s="14" t="n">
        <v>143</v>
      </c>
      <c r="B144" s="14" t="s">
        <v>689</v>
      </c>
      <c r="C144" s="14" t="s">
        <v>575</v>
      </c>
      <c r="D144" s="14" t="s">
        <v>45</v>
      </c>
      <c r="E144" s="14" t="s">
        <v>431</v>
      </c>
      <c r="F144" s="14"/>
      <c r="G144" s="14" t="s">
        <v>690</v>
      </c>
      <c r="H144" s="14" t="s">
        <v>37</v>
      </c>
      <c r="I144" s="14" t="s">
        <v>433</v>
      </c>
      <c r="J144" s="14" t="s">
        <v>691</v>
      </c>
      <c r="K144" s="14" t="s">
        <v>57</v>
      </c>
      <c r="L144" s="16" t="s">
        <v>6</v>
      </c>
      <c r="M144" s="14" t="s">
        <v>692</v>
      </c>
      <c r="N144" s="14" t="s">
        <v>693</v>
      </c>
      <c r="O144" s="14"/>
    </row>
    <row r="145" customFormat="false" ht="55.2" hidden="false" customHeight="false" outlineLevel="0" collapsed="false">
      <c r="A145" s="14" t="n">
        <v>144</v>
      </c>
      <c r="B145" s="14" t="s">
        <v>694</v>
      </c>
      <c r="C145" s="14" t="s">
        <v>695</v>
      </c>
      <c r="D145" s="14" t="s">
        <v>34</v>
      </c>
      <c r="E145" s="14" t="s">
        <v>45</v>
      </c>
      <c r="F145" s="14" t="s">
        <v>219</v>
      </c>
      <c r="G145" s="14" t="s">
        <v>696</v>
      </c>
      <c r="H145" s="14" t="s">
        <v>37</v>
      </c>
      <c r="I145" s="14" t="s">
        <v>38</v>
      </c>
      <c r="J145" s="14" t="s">
        <v>697</v>
      </c>
      <c r="K145" s="14" t="s">
        <v>40</v>
      </c>
      <c r="L145" s="16" t="s">
        <v>6</v>
      </c>
      <c r="M145" s="14" t="s">
        <v>104</v>
      </c>
      <c r="N145" s="14" t="s">
        <v>105</v>
      </c>
      <c r="O145" s="14"/>
    </row>
    <row r="146" customFormat="false" ht="55.2" hidden="false" customHeight="false" outlineLevel="0" collapsed="false">
      <c r="A146" s="14" t="n">
        <v>145</v>
      </c>
      <c r="B146" s="14" t="s">
        <v>698</v>
      </c>
      <c r="C146" s="14" t="s">
        <v>699</v>
      </c>
      <c r="D146" s="14" t="s">
        <v>45</v>
      </c>
      <c r="E146" s="14" t="s">
        <v>34</v>
      </c>
      <c r="F146" s="14"/>
      <c r="G146" s="14" t="s">
        <v>700</v>
      </c>
      <c r="H146" s="14" t="s">
        <v>48</v>
      </c>
      <c r="I146" s="14" t="s">
        <v>49</v>
      </c>
      <c r="J146" s="14" t="s">
        <v>701</v>
      </c>
      <c r="K146" s="14" t="s">
        <v>40</v>
      </c>
      <c r="L146" s="16" t="s">
        <v>6</v>
      </c>
      <c r="M146" s="14" t="s">
        <v>104</v>
      </c>
      <c r="N146" s="14" t="s">
        <v>105</v>
      </c>
      <c r="O146" s="14"/>
    </row>
    <row r="147" customFormat="false" ht="55.2" hidden="false" customHeight="false" outlineLevel="0" collapsed="false">
      <c r="A147" s="14" t="n">
        <v>146</v>
      </c>
      <c r="B147" s="14" t="s">
        <v>702</v>
      </c>
      <c r="C147" s="14" t="s">
        <v>703</v>
      </c>
      <c r="D147" s="14" t="s">
        <v>346</v>
      </c>
      <c r="E147" s="14" t="s">
        <v>46</v>
      </c>
      <c r="F147" s="14"/>
      <c r="G147" s="14" t="s">
        <v>704</v>
      </c>
      <c r="H147" s="14" t="s">
        <v>175</v>
      </c>
      <c r="I147" s="14" t="s">
        <v>176</v>
      </c>
      <c r="J147" s="14" t="s">
        <v>705</v>
      </c>
      <c r="K147" s="14" t="s">
        <v>40</v>
      </c>
      <c r="L147" s="16" t="s">
        <v>6</v>
      </c>
      <c r="M147" s="14" t="s">
        <v>104</v>
      </c>
      <c r="N147" s="14" t="s">
        <v>105</v>
      </c>
      <c r="O147" s="14"/>
    </row>
    <row r="148" customFormat="false" ht="55.2" hidden="false" customHeight="false" outlineLevel="0" collapsed="false">
      <c r="A148" s="14" t="n">
        <v>147</v>
      </c>
      <c r="B148" s="14" t="s">
        <v>706</v>
      </c>
      <c r="C148" s="14" t="s">
        <v>610</v>
      </c>
      <c r="D148" s="14" t="s">
        <v>34</v>
      </c>
      <c r="E148" s="14" t="s">
        <v>219</v>
      </c>
      <c r="F148" s="14"/>
      <c r="G148" s="14" t="s">
        <v>707</v>
      </c>
      <c r="H148" s="14" t="s">
        <v>37</v>
      </c>
      <c r="I148" s="14" t="s">
        <v>38</v>
      </c>
      <c r="J148" s="14" t="s">
        <v>708</v>
      </c>
      <c r="K148" s="14" t="s">
        <v>57</v>
      </c>
      <c r="L148" s="17" t="s">
        <v>7</v>
      </c>
      <c r="M148" s="14" t="s">
        <v>709</v>
      </c>
      <c r="N148" s="14" t="s">
        <v>710</v>
      </c>
      <c r="O148" s="14"/>
    </row>
    <row r="149" customFormat="false" ht="55.2" hidden="false" customHeight="false" outlineLevel="0" collapsed="false">
      <c r="A149" s="14" t="n">
        <v>148</v>
      </c>
      <c r="B149" s="14" t="s">
        <v>711</v>
      </c>
      <c r="C149" s="14" t="s">
        <v>712</v>
      </c>
      <c r="D149" s="14" t="s">
        <v>45</v>
      </c>
      <c r="E149" s="14" t="s">
        <v>431</v>
      </c>
      <c r="F149" s="14"/>
      <c r="G149" s="14" t="s">
        <v>713</v>
      </c>
      <c r="H149" s="14" t="s">
        <v>37</v>
      </c>
      <c r="I149" s="14" t="s">
        <v>433</v>
      </c>
      <c r="J149" s="14" t="s">
        <v>714</v>
      </c>
      <c r="K149" s="14" t="s">
        <v>40</v>
      </c>
      <c r="L149" s="16" t="s">
        <v>6</v>
      </c>
      <c r="M149" s="14" t="s">
        <v>104</v>
      </c>
      <c r="N149" s="14" t="s">
        <v>105</v>
      </c>
      <c r="O149" s="14"/>
    </row>
    <row r="150" customFormat="false" ht="68.65" hidden="false" customHeight="false" outlineLevel="0" collapsed="false">
      <c r="A150" s="14" t="n">
        <v>149</v>
      </c>
      <c r="B150" s="14" t="s">
        <v>715</v>
      </c>
      <c r="C150" s="14" t="s">
        <v>716</v>
      </c>
      <c r="D150" s="14" t="s">
        <v>219</v>
      </c>
      <c r="E150" s="14" t="s">
        <v>35</v>
      </c>
      <c r="F150" s="14" t="s">
        <v>67</v>
      </c>
      <c r="G150" s="14" t="s">
        <v>717</v>
      </c>
      <c r="H150" s="14" t="s">
        <v>37</v>
      </c>
      <c r="I150" s="14" t="s">
        <v>38</v>
      </c>
      <c r="J150" s="14" t="s">
        <v>718</v>
      </c>
      <c r="K150" s="14" t="s">
        <v>40</v>
      </c>
      <c r="L150" s="16" t="s">
        <v>6</v>
      </c>
      <c r="M150" s="14" t="s">
        <v>104</v>
      </c>
      <c r="N150" s="14" t="s">
        <v>105</v>
      </c>
      <c r="O150" s="14"/>
    </row>
    <row r="151" customFormat="false" ht="55.2" hidden="false" customHeight="false" outlineLevel="0" collapsed="false">
      <c r="A151" s="14" t="n">
        <v>150</v>
      </c>
      <c r="B151" s="14" t="s">
        <v>719</v>
      </c>
      <c r="C151" s="14" t="s">
        <v>720</v>
      </c>
      <c r="D151" s="14" t="s">
        <v>34</v>
      </c>
      <c r="E151" s="14" t="s">
        <v>61</v>
      </c>
      <c r="F151" s="14"/>
      <c r="G151" s="14" t="s">
        <v>721</v>
      </c>
      <c r="H151" s="14" t="s">
        <v>63</v>
      </c>
      <c r="I151" s="14" t="s">
        <v>38</v>
      </c>
      <c r="J151" s="14" t="s">
        <v>722</v>
      </c>
      <c r="K151" s="14" t="s">
        <v>40</v>
      </c>
      <c r="L151" s="16" t="s">
        <v>6</v>
      </c>
      <c r="M151" s="14" t="s">
        <v>104</v>
      </c>
      <c r="N151" s="14" t="s">
        <v>105</v>
      </c>
      <c r="O151" s="14"/>
    </row>
    <row r="152" customFormat="false" ht="55.2" hidden="false" customHeight="false" outlineLevel="0" collapsed="false">
      <c r="A152" s="14" t="n">
        <v>151</v>
      </c>
      <c r="B152" s="14" t="s">
        <v>723</v>
      </c>
      <c r="C152" s="14" t="s">
        <v>724</v>
      </c>
      <c r="D152" s="14" t="s">
        <v>45</v>
      </c>
      <c r="E152" s="14" t="s">
        <v>34</v>
      </c>
      <c r="F152" s="14" t="s">
        <v>46</v>
      </c>
      <c r="G152" s="14" t="s">
        <v>725</v>
      </c>
      <c r="H152" s="14" t="s">
        <v>63</v>
      </c>
      <c r="I152" s="14" t="s">
        <v>38</v>
      </c>
      <c r="J152" s="14" t="s">
        <v>726</v>
      </c>
      <c r="K152" s="14" t="s">
        <v>40</v>
      </c>
      <c r="L152" s="16" t="s">
        <v>6</v>
      </c>
      <c r="M152" s="14" t="s">
        <v>104</v>
      </c>
      <c r="N152" s="14" t="s">
        <v>105</v>
      </c>
      <c r="O152" s="14"/>
    </row>
    <row r="153" customFormat="false" ht="41.75" hidden="false" customHeight="false" outlineLevel="0" collapsed="false">
      <c r="A153" s="14" t="n">
        <v>152</v>
      </c>
      <c r="B153" s="14" t="s">
        <v>727</v>
      </c>
      <c r="C153" s="14" t="s">
        <v>669</v>
      </c>
      <c r="D153" s="14" t="s">
        <v>45</v>
      </c>
      <c r="E153" s="14" t="s">
        <v>46</v>
      </c>
      <c r="F153" s="14"/>
      <c r="G153" s="14" t="s">
        <v>728</v>
      </c>
      <c r="H153" s="14" t="s">
        <v>37</v>
      </c>
      <c r="I153" s="14" t="s">
        <v>38</v>
      </c>
      <c r="J153" s="14" t="s">
        <v>729</v>
      </c>
      <c r="K153" s="14" t="s">
        <v>57</v>
      </c>
      <c r="L153" s="17" t="s">
        <v>7</v>
      </c>
      <c r="M153" s="14" t="s">
        <v>730</v>
      </c>
      <c r="N153" s="14" t="s">
        <v>731</v>
      </c>
      <c r="O153" s="14"/>
    </row>
    <row r="154" customFormat="false" ht="55.2" hidden="false" customHeight="false" outlineLevel="0" collapsed="false">
      <c r="A154" s="14" t="n">
        <v>153</v>
      </c>
      <c r="B154" s="14" t="s">
        <v>732</v>
      </c>
      <c r="C154" s="14" t="s">
        <v>733</v>
      </c>
      <c r="D154" s="14" t="s">
        <v>46</v>
      </c>
      <c r="E154" s="14" t="s">
        <v>45</v>
      </c>
      <c r="F154" s="14"/>
      <c r="G154" s="14" t="s">
        <v>734</v>
      </c>
      <c r="H154" s="14" t="s">
        <v>175</v>
      </c>
      <c r="I154" s="14" t="s">
        <v>176</v>
      </c>
      <c r="J154" s="14" t="s">
        <v>735</v>
      </c>
      <c r="K154" s="14" t="s">
        <v>40</v>
      </c>
      <c r="L154" s="16" t="s">
        <v>6</v>
      </c>
      <c r="M154" s="14" t="s">
        <v>104</v>
      </c>
      <c r="N154" s="14" t="s">
        <v>105</v>
      </c>
      <c r="O154" s="14"/>
    </row>
    <row r="155" customFormat="false" ht="55.2" hidden="false" customHeight="false" outlineLevel="0" collapsed="false">
      <c r="A155" s="14" t="n">
        <v>154</v>
      </c>
      <c r="B155" s="14" t="s">
        <v>736</v>
      </c>
      <c r="C155" s="14" t="s">
        <v>737</v>
      </c>
      <c r="D155" s="14" t="s">
        <v>34</v>
      </c>
      <c r="E155" s="14" t="s">
        <v>35</v>
      </c>
      <c r="F155" s="14"/>
      <c r="G155" s="14" t="s">
        <v>738</v>
      </c>
      <c r="H155" s="14" t="s">
        <v>37</v>
      </c>
      <c r="I155" s="14" t="s">
        <v>38</v>
      </c>
      <c r="J155" s="14" t="s">
        <v>739</v>
      </c>
      <c r="K155" s="14" t="s">
        <v>40</v>
      </c>
      <c r="L155" s="16" t="s">
        <v>6</v>
      </c>
      <c r="M155" s="14" t="s">
        <v>104</v>
      </c>
      <c r="N155" s="14" t="s">
        <v>105</v>
      </c>
      <c r="O155" s="14"/>
    </row>
    <row r="156" customFormat="false" ht="55.2" hidden="false" customHeight="false" outlineLevel="0" collapsed="false">
      <c r="A156" s="14" t="n">
        <v>155</v>
      </c>
      <c r="B156" s="14" t="s">
        <v>740</v>
      </c>
      <c r="C156" s="14" t="s">
        <v>741</v>
      </c>
      <c r="D156" s="14" t="s">
        <v>45</v>
      </c>
      <c r="E156" s="14" t="s">
        <v>34</v>
      </c>
      <c r="F156" s="14"/>
      <c r="G156" s="14" t="s">
        <v>742</v>
      </c>
      <c r="H156" s="14" t="s">
        <v>48</v>
      </c>
      <c r="I156" s="14" t="s">
        <v>49</v>
      </c>
      <c r="J156" s="14" t="s">
        <v>743</v>
      </c>
      <c r="K156" s="14" t="s">
        <v>40</v>
      </c>
      <c r="L156" s="18" t="s">
        <v>8</v>
      </c>
      <c r="M156" s="14" t="s">
        <v>744</v>
      </c>
      <c r="N156" s="14" t="s">
        <v>745</v>
      </c>
      <c r="O156" s="14"/>
    </row>
    <row r="157" customFormat="false" ht="41.75" hidden="false" customHeight="false" outlineLevel="0" collapsed="false">
      <c r="A157" s="14" t="n">
        <v>156</v>
      </c>
      <c r="B157" s="14" t="s">
        <v>746</v>
      </c>
      <c r="C157" s="14" t="s">
        <v>747</v>
      </c>
      <c r="D157" s="14" t="s">
        <v>67</v>
      </c>
      <c r="E157" s="14" t="s">
        <v>34</v>
      </c>
      <c r="F157" s="14"/>
      <c r="G157" s="14" t="s">
        <v>748</v>
      </c>
      <c r="H157" s="14" t="s">
        <v>37</v>
      </c>
      <c r="I157" s="14" t="s">
        <v>38</v>
      </c>
      <c r="J157" s="14" t="s">
        <v>749</v>
      </c>
      <c r="K157" s="14" t="s">
        <v>57</v>
      </c>
      <c r="L157" s="18" t="s">
        <v>8</v>
      </c>
      <c r="M157" s="14" t="s">
        <v>750</v>
      </c>
      <c r="N157" s="14" t="s">
        <v>751</v>
      </c>
      <c r="O157" s="14" t="s">
        <v>254</v>
      </c>
    </row>
    <row r="158" customFormat="false" ht="55.2" hidden="false" customHeight="false" outlineLevel="0" collapsed="false">
      <c r="A158" s="14" t="n">
        <v>157</v>
      </c>
      <c r="B158" s="14" t="s">
        <v>752</v>
      </c>
      <c r="C158" s="14" t="s">
        <v>753</v>
      </c>
      <c r="D158" s="14" t="s">
        <v>219</v>
      </c>
      <c r="E158" s="14" t="s">
        <v>67</v>
      </c>
      <c r="F158" s="14"/>
      <c r="G158" s="14" t="s">
        <v>754</v>
      </c>
      <c r="H158" s="14" t="s">
        <v>37</v>
      </c>
      <c r="I158" s="14" t="s">
        <v>38</v>
      </c>
      <c r="J158" s="14" t="s">
        <v>755</v>
      </c>
      <c r="K158" s="14" t="s">
        <v>40</v>
      </c>
      <c r="L158" s="16" t="s">
        <v>6</v>
      </c>
      <c r="M158" s="14" t="s">
        <v>104</v>
      </c>
      <c r="N158" s="14" t="s">
        <v>105</v>
      </c>
      <c r="O158" s="14"/>
    </row>
    <row r="159" customFormat="false" ht="55.2" hidden="false" customHeight="false" outlineLevel="0" collapsed="false">
      <c r="A159" s="14" t="n">
        <v>158</v>
      </c>
      <c r="B159" s="14" t="s">
        <v>756</v>
      </c>
      <c r="C159" s="14" t="s">
        <v>636</v>
      </c>
      <c r="D159" s="14" t="s">
        <v>45</v>
      </c>
      <c r="E159" s="14" t="s">
        <v>431</v>
      </c>
      <c r="F159" s="14"/>
      <c r="G159" s="14" t="s">
        <v>757</v>
      </c>
      <c r="H159" s="14" t="s">
        <v>37</v>
      </c>
      <c r="I159" s="14" t="s">
        <v>433</v>
      </c>
      <c r="J159" s="14" t="s">
        <v>758</v>
      </c>
      <c r="K159" s="14" t="s">
        <v>57</v>
      </c>
      <c r="L159" s="17" t="s">
        <v>7</v>
      </c>
      <c r="M159" s="14" t="s">
        <v>759</v>
      </c>
      <c r="N159" s="14" t="s">
        <v>760</v>
      </c>
      <c r="O159" s="14"/>
    </row>
    <row r="160" customFormat="false" ht="55.2" hidden="false" customHeight="false" outlineLevel="0" collapsed="false">
      <c r="A160" s="14" t="n">
        <v>159</v>
      </c>
      <c r="B160" s="14" t="s">
        <v>761</v>
      </c>
      <c r="C160" s="14" t="s">
        <v>762</v>
      </c>
      <c r="D160" s="14" t="s">
        <v>45</v>
      </c>
      <c r="E160" s="14" t="s">
        <v>34</v>
      </c>
      <c r="F160" s="14" t="s">
        <v>46</v>
      </c>
      <c r="G160" s="14" t="s">
        <v>763</v>
      </c>
      <c r="H160" s="14" t="s">
        <v>309</v>
      </c>
      <c r="I160" s="14" t="s">
        <v>176</v>
      </c>
      <c r="J160" s="14" t="s">
        <v>764</v>
      </c>
      <c r="K160" s="14" t="s">
        <v>40</v>
      </c>
      <c r="L160" s="16" t="s">
        <v>6</v>
      </c>
      <c r="M160" s="14" t="s">
        <v>104</v>
      </c>
      <c r="N160" s="14" t="s">
        <v>105</v>
      </c>
      <c r="O160" s="14"/>
    </row>
    <row r="161" customFormat="false" ht="41.75" hidden="false" customHeight="false" outlineLevel="0" collapsed="false">
      <c r="A161" s="14" t="n">
        <v>160</v>
      </c>
      <c r="B161" s="14" t="s">
        <v>765</v>
      </c>
      <c r="C161" s="14" t="s">
        <v>766</v>
      </c>
      <c r="D161" s="14" t="s">
        <v>34</v>
      </c>
      <c r="E161" s="14" t="s">
        <v>45</v>
      </c>
      <c r="F161" s="14"/>
      <c r="G161" s="14" t="s">
        <v>767</v>
      </c>
      <c r="H161" s="14" t="s">
        <v>37</v>
      </c>
      <c r="I161" s="14" t="s">
        <v>38</v>
      </c>
      <c r="J161" s="14" t="s">
        <v>768</v>
      </c>
      <c r="K161" s="14" t="s">
        <v>40</v>
      </c>
      <c r="L161" s="16" t="s">
        <v>6</v>
      </c>
      <c r="M161" s="14" t="s">
        <v>104</v>
      </c>
      <c r="N161" s="14" t="s">
        <v>105</v>
      </c>
      <c r="O161" s="14"/>
    </row>
    <row r="162" customFormat="false" ht="55.2" hidden="false" customHeight="false" outlineLevel="0" collapsed="false">
      <c r="A162" s="14" t="n">
        <v>161</v>
      </c>
      <c r="B162" s="14" t="s">
        <v>769</v>
      </c>
      <c r="C162" s="14" t="s">
        <v>770</v>
      </c>
      <c r="D162" s="14" t="s">
        <v>46</v>
      </c>
      <c r="E162" s="14" t="s">
        <v>45</v>
      </c>
      <c r="F162" s="14" t="s">
        <v>346</v>
      </c>
      <c r="G162" s="14" t="s">
        <v>771</v>
      </c>
      <c r="H162" s="14" t="s">
        <v>175</v>
      </c>
      <c r="I162" s="14" t="s">
        <v>176</v>
      </c>
      <c r="J162" s="14" t="s">
        <v>772</v>
      </c>
      <c r="K162" s="14" t="s">
        <v>40</v>
      </c>
      <c r="L162" s="16" t="s">
        <v>6</v>
      </c>
      <c r="M162" s="14" t="s">
        <v>104</v>
      </c>
      <c r="N162" s="14" t="s">
        <v>105</v>
      </c>
      <c r="O162" s="14"/>
    </row>
    <row r="163" customFormat="false" ht="55.2" hidden="false" customHeight="false" outlineLevel="0" collapsed="false">
      <c r="A163" s="14" t="n">
        <v>162</v>
      </c>
      <c r="B163" s="14" t="s">
        <v>773</v>
      </c>
      <c r="C163" s="14" t="s">
        <v>774</v>
      </c>
      <c r="D163" s="14" t="s">
        <v>775</v>
      </c>
      <c r="E163" s="14" t="s">
        <v>297</v>
      </c>
      <c r="F163" s="14"/>
      <c r="G163" s="14" t="s">
        <v>776</v>
      </c>
      <c r="H163" s="14" t="s">
        <v>777</v>
      </c>
      <c r="I163" s="14" t="s">
        <v>176</v>
      </c>
      <c r="J163" s="14" t="s">
        <v>778</v>
      </c>
      <c r="K163" s="14" t="s">
        <v>57</v>
      </c>
      <c r="L163" s="15" t="s">
        <v>9</v>
      </c>
      <c r="M163" s="14" t="s">
        <v>779</v>
      </c>
      <c r="N163" s="14" t="s">
        <v>488</v>
      </c>
      <c r="O163" s="14"/>
    </row>
    <row r="164" customFormat="false" ht="55.2" hidden="false" customHeight="false" outlineLevel="0" collapsed="false">
      <c r="A164" s="14" t="n">
        <v>163</v>
      </c>
      <c r="B164" s="14" t="s">
        <v>780</v>
      </c>
      <c r="C164" s="14" t="s">
        <v>781</v>
      </c>
      <c r="D164" s="14" t="s">
        <v>45</v>
      </c>
      <c r="E164" s="14" t="s">
        <v>34</v>
      </c>
      <c r="F164" s="14"/>
      <c r="G164" s="14" t="s">
        <v>782</v>
      </c>
      <c r="H164" s="14" t="s">
        <v>37</v>
      </c>
      <c r="I164" s="14" t="s">
        <v>38</v>
      </c>
      <c r="J164" s="14" t="s">
        <v>783</v>
      </c>
      <c r="K164" s="14" t="s">
        <v>40</v>
      </c>
      <c r="L164" s="16" t="s">
        <v>6</v>
      </c>
      <c r="M164" s="14" t="s">
        <v>104</v>
      </c>
      <c r="N164" s="14" t="s">
        <v>105</v>
      </c>
      <c r="O164" s="14"/>
    </row>
    <row r="165" customFormat="false" ht="55.2" hidden="false" customHeight="false" outlineLevel="0" collapsed="false">
      <c r="A165" s="14" t="n">
        <v>164</v>
      </c>
      <c r="B165" s="14" t="s">
        <v>784</v>
      </c>
      <c r="C165" s="14" t="s">
        <v>785</v>
      </c>
      <c r="D165" s="14" t="s">
        <v>46</v>
      </c>
      <c r="E165" s="14" t="s">
        <v>45</v>
      </c>
      <c r="F165" s="14"/>
      <c r="G165" s="14" t="s">
        <v>786</v>
      </c>
      <c r="H165" s="14" t="s">
        <v>63</v>
      </c>
      <c r="I165" s="14" t="s">
        <v>176</v>
      </c>
      <c r="J165" s="14" t="s">
        <v>787</v>
      </c>
      <c r="K165" s="14" t="s">
        <v>40</v>
      </c>
      <c r="L165" s="16" t="s">
        <v>6</v>
      </c>
      <c r="M165" s="14" t="s">
        <v>104</v>
      </c>
      <c r="N165" s="14" t="s">
        <v>105</v>
      </c>
      <c r="O165" s="14"/>
    </row>
    <row r="166" customFormat="false" ht="41.75" hidden="false" customHeight="false" outlineLevel="0" collapsed="false">
      <c r="A166" s="14" t="n">
        <v>165</v>
      </c>
      <c r="B166" s="14" t="s">
        <v>788</v>
      </c>
      <c r="C166" s="14" t="s">
        <v>789</v>
      </c>
      <c r="D166" s="14" t="s">
        <v>34</v>
      </c>
      <c r="E166" s="14" t="s">
        <v>35</v>
      </c>
      <c r="F166" s="14"/>
      <c r="G166" s="14" t="s">
        <v>790</v>
      </c>
      <c r="H166" s="14" t="s">
        <v>37</v>
      </c>
      <c r="I166" s="14" t="s">
        <v>38</v>
      </c>
      <c r="J166" s="14" t="s">
        <v>791</v>
      </c>
      <c r="K166" s="14" t="s">
        <v>40</v>
      </c>
      <c r="L166" s="16" t="s">
        <v>6</v>
      </c>
      <c r="M166" s="14" t="s">
        <v>104</v>
      </c>
      <c r="N166" s="14" t="s">
        <v>105</v>
      </c>
      <c r="O166" s="14"/>
    </row>
    <row r="167" customFormat="false" ht="55.2" hidden="false" customHeight="false" outlineLevel="0" collapsed="false">
      <c r="A167" s="14" t="n">
        <v>166</v>
      </c>
      <c r="B167" s="14" t="s">
        <v>792</v>
      </c>
      <c r="C167" s="14" t="s">
        <v>793</v>
      </c>
      <c r="D167" s="14" t="s">
        <v>45</v>
      </c>
      <c r="E167" s="14" t="s">
        <v>34</v>
      </c>
      <c r="F167" s="14"/>
      <c r="G167" s="14" t="s">
        <v>794</v>
      </c>
      <c r="H167" s="14" t="s">
        <v>37</v>
      </c>
      <c r="I167" s="14" t="s">
        <v>38</v>
      </c>
      <c r="J167" s="14" t="s">
        <v>795</v>
      </c>
      <c r="K167" s="14" t="s">
        <v>40</v>
      </c>
      <c r="L167" s="16" t="s">
        <v>6</v>
      </c>
      <c r="M167" s="14" t="s">
        <v>104</v>
      </c>
      <c r="N167" s="14" t="s">
        <v>105</v>
      </c>
      <c r="O167" s="14"/>
    </row>
    <row r="168" customFormat="false" ht="55.2" hidden="false" customHeight="false" outlineLevel="0" collapsed="false">
      <c r="A168" s="14" t="n">
        <v>167</v>
      </c>
      <c r="B168" s="14" t="s">
        <v>796</v>
      </c>
      <c r="C168" s="14" t="s">
        <v>741</v>
      </c>
      <c r="D168" s="14" t="s">
        <v>45</v>
      </c>
      <c r="E168" s="14" t="s">
        <v>460</v>
      </c>
      <c r="F168" s="14" t="s">
        <v>431</v>
      </c>
      <c r="G168" s="14" t="s">
        <v>797</v>
      </c>
      <c r="H168" s="14" t="s">
        <v>37</v>
      </c>
      <c r="I168" s="14" t="s">
        <v>433</v>
      </c>
      <c r="J168" s="14" t="s">
        <v>798</v>
      </c>
      <c r="K168" s="14" t="s">
        <v>57</v>
      </c>
      <c r="L168" s="16" t="s">
        <v>6</v>
      </c>
      <c r="M168" s="14" t="s">
        <v>799</v>
      </c>
      <c r="N168" s="14" t="s">
        <v>800</v>
      </c>
      <c r="O168" s="14"/>
    </row>
    <row r="169" customFormat="false" ht="41.75" hidden="false" customHeight="false" outlineLevel="0" collapsed="false">
      <c r="A169" s="14" t="n">
        <v>168</v>
      </c>
      <c r="B169" s="14" t="s">
        <v>801</v>
      </c>
      <c r="C169" s="14" t="s">
        <v>802</v>
      </c>
      <c r="D169" s="14" t="s">
        <v>46</v>
      </c>
      <c r="E169" s="14" t="s">
        <v>45</v>
      </c>
      <c r="F169" s="14" t="s">
        <v>346</v>
      </c>
      <c r="G169" s="14" t="s">
        <v>803</v>
      </c>
      <c r="H169" s="14" t="s">
        <v>63</v>
      </c>
      <c r="I169" s="14" t="s">
        <v>176</v>
      </c>
      <c r="J169" s="14" t="s">
        <v>804</v>
      </c>
      <c r="K169" s="14" t="s">
        <v>57</v>
      </c>
      <c r="L169" s="17" t="s">
        <v>7</v>
      </c>
      <c r="M169" s="14" t="s">
        <v>805</v>
      </c>
      <c r="N169" s="14" t="s">
        <v>710</v>
      </c>
      <c r="O169" s="14"/>
    </row>
    <row r="170" customFormat="false" ht="55.2" hidden="false" customHeight="false" outlineLevel="0" collapsed="false">
      <c r="A170" s="14" t="n">
        <v>169</v>
      </c>
      <c r="B170" s="14" t="s">
        <v>806</v>
      </c>
      <c r="C170" s="14" t="s">
        <v>807</v>
      </c>
      <c r="D170" s="14" t="s">
        <v>45</v>
      </c>
      <c r="E170" s="14" t="s">
        <v>34</v>
      </c>
      <c r="F170" s="14" t="s">
        <v>219</v>
      </c>
      <c r="G170" s="14" t="s">
        <v>808</v>
      </c>
      <c r="H170" s="14" t="s">
        <v>37</v>
      </c>
      <c r="I170" s="14" t="s">
        <v>38</v>
      </c>
      <c r="J170" s="14" t="s">
        <v>809</v>
      </c>
      <c r="K170" s="14" t="s">
        <v>40</v>
      </c>
      <c r="L170" s="16" t="s">
        <v>6</v>
      </c>
      <c r="M170" s="14" t="s">
        <v>104</v>
      </c>
      <c r="N170" s="14" t="s">
        <v>105</v>
      </c>
      <c r="O170" s="14"/>
    </row>
    <row r="171" customFormat="false" ht="55.2" hidden="false" customHeight="false" outlineLevel="0" collapsed="false">
      <c r="A171" s="14" t="n">
        <v>170</v>
      </c>
      <c r="B171" s="14" t="s">
        <v>810</v>
      </c>
      <c r="C171" s="14" t="s">
        <v>811</v>
      </c>
      <c r="D171" s="14" t="s">
        <v>46</v>
      </c>
      <c r="E171" s="14" t="s">
        <v>45</v>
      </c>
      <c r="F171" s="14"/>
      <c r="G171" s="14" t="s">
        <v>812</v>
      </c>
      <c r="H171" s="14" t="s">
        <v>175</v>
      </c>
      <c r="I171" s="14" t="s">
        <v>176</v>
      </c>
      <c r="J171" s="14" t="s">
        <v>813</v>
      </c>
      <c r="K171" s="14" t="s">
        <v>40</v>
      </c>
      <c r="L171" s="16" t="s">
        <v>6</v>
      </c>
      <c r="M171" s="14" t="s">
        <v>104</v>
      </c>
      <c r="N171" s="14" t="s">
        <v>105</v>
      </c>
      <c r="O171" s="14"/>
    </row>
    <row r="172" customFormat="false" ht="55.2" hidden="false" customHeight="false" outlineLevel="0" collapsed="false">
      <c r="A172" s="14" t="n">
        <v>171</v>
      </c>
      <c r="B172" s="14" t="s">
        <v>814</v>
      </c>
      <c r="C172" s="14" t="s">
        <v>815</v>
      </c>
      <c r="D172" s="14" t="s">
        <v>34</v>
      </c>
      <c r="E172" s="14" t="s">
        <v>61</v>
      </c>
      <c r="F172" s="14"/>
      <c r="G172" s="14" t="s">
        <v>816</v>
      </c>
      <c r="H172" s="14" t="s">
        <v>63</v>
      </c>
      <c r="I172" s="14" t="s">
        <v>38</v>
      </c>
      <c r="J172" s="14" t="s">
        <v>817</v>
      </c>
      <c r="K172" s="14" t="s">
        <v>40</v>
      </c>
      <c r="L172" s="16" t="s">
        <v>6</v>
      </c>
      <c r="M172" s="14" t="s">
        <v>104</v>
      </c>
      <c r="N172" s="14" t="s">
        <v>105</v>
      </c>
      <c r="O172" s="14"/>
    </row>
    <row r="173" customFormat="false" ht="55.2" hidden="false" customHeight="false" outlineLevel="0" collapsed="false">
      <c r="A173" s="14" t="n">
        <v>172</v>
      </c>
      <c r="B173" s="14" t="s">
        <v>818</v>
      </c>
      <c r="C173" s="14" t="s">
        <v>819</v>
      </c>
      <c r="D173" s="14" t="s">
        <v>45</v>
      </c>
      <c r="E173" s="14" t="s">
        <v>431</v>
      </c>
      <c r="F173" s="14"/>
      <c r="G173" s="14" t="s">
        <v>820</v>
      </c>
      <c r="H173" s="14" t="s">
        <v>37</v>
      </c>
      <c r="I173" s="14" t="s">
        <v>433</v>
      </c>
      <c r="J173" s="14" t="s">
        <v>821</v>
      </c>
      <c r="K173" s="14" t="s">
        <v>40</v>
      </c>
      <c r="L173" s="16" t="s">
        <v>6</v>
      </c>
      <c r="M173" s="14" t="s">
        <v>104</v>
      </c>
      <c r="N173" s="14" t="s">
        <v>105</v>
      </c>
      <c r="O173" s="14"/>
    </row>
    <row r="174" customFormat="false" ht="55.2" hidden="false" customHeight="false" outlineLevel="0" collapsed="false">
      <c r="A174" s="14" t="n">
        <v>173</v>
      </c>
      <c r="B174" s="14" t="s">
        <v>822</v>
      </c>
      <c r="C174" s="14" t="s">
        <v>823</v>
      </c>
      <c r="D174" s="14" t="s">
        <v>219</v>
      </c>
      <c r="E174" s="14" t="s">
        <v>35</v>
      </c>
      <c r="F174" s="14"/>
      <c r="G174" s="14" t="s">
        <v>824</v>
      </c>
      <c r="H174" s="14" t="s">
        <v>37</v>
      </c>
      <c r="I174" s="14" t="s">
        <v>38</v>
      </c>
      <c r="J174" s="14" t="s">
        <v>825</v>
      </c>
      <c r="K174" s="14" t="s">
        <v>40</v>
      </c>
      <c r="L174" s="16" t="s">
        <v>6</v>
      </c>
      <c r="M174" s="14" t="s">
        <v>104</v>
      </c>
      <c r="N174" s="14" t="s">
        <v>105</v>
      </c>
      <c r="O174" s="14"/>
    </row>
    <row r="175" customFormat="false" ht="55.2" hidden="false" customHeight="false" outlineLevel="0" collapsed="false">
      <c r="A175" s="14" t="n">
        <v>174</v>
      </c>
      <c r="B175" s="14" t="s">
        <v>826</v>
      </c>
      <c r="C175" s="14" t="s">
        <v>827</v>
      </c>
      <c r="D175" s="14" t="s">
        <v>346</v>
      </c>
      <c r="E175" s="14" t="s">
        <v>45</v>
      </c>
      <c r="F175" s="14"/>
      <c r="G175" s="14" t="s">
        <v>828</v>
      </c>
      <c r="H175" s="14" t="s">
        <v>175</v>
      </c>
      <c r="I175" s="14" t="s">
        <v>176</v>
      </c>
      <c r="J175" s="14" t="s">
        <v>829</v>
      </c>
      <c r="K175" s="14" t="s">
        <v>40</v>
      </c>
      <c r="L175" s="16" t="s">
        <v>6</v>
      </c>
      <c r="M175" s="14" t="s">
        <v>104</v>
      </c>
      <c r="N175" s="14" t="s">
        <v>105</v>
      </c>
      <c r="O175" s="14"/>
    </row>
    <row r="176" customFormat="false" ht="68.65" hidden="false" customHeight="false" outlineLevel="0" collapsed="false">
      <c r="A176" s="14" t="n">
        <v>175</v>
      </c>
      <c r="B176" s="14" t="s">
        <v>830</v>
      </c>
      <c r="C176" s="14" t="s">
        <v>831</v>
      </c>
      <c r="D176" s="14" t="s">
        <v>346</v>
      </c>
      <c r="E176" s="14" t="s">
        <v>219</v>
      </c>
      <c r="F176" s="14"/>
      <c r="G176" s="14" t="s">
        <v>832</v>
      </c>
      <c r="H176" s="14" t="s">
        <v>37</v>
      </c>
      <c r="I176" s="14" t="s">
        <v>38</v>
      </c>
      <c r="J176" s="14" t="s">
        <v>833</v>
      </c>
      <c r="K176" s="14" t="s">
        <v>57</v>
      </c>
      <c r="L176" s="18" t="s">
        <v>8</v>
      </c>
      <c r="M176" s="14" t="s">
        <v>834</v>
      </c>
      <c r="N176" s="14" t="s">
        <v>835</v>
      </c>
      <c r="O176" s="14"/>
    </row>
    <row r="177" customFormat="false" ht="55.2" hidden="false" customHeight="false" outlineLevel="0" collapsed="false">
      <c r="A177" s="14" t="n">
        <v>176</v>
      </c>
      <c r="B177" s="14" t="s">
        <v>836</v>
      </c>
      <c r="C177" s="14" t="s">
        <v>837</v>
      </c>
      <c r="D177" s="14" t="s">
        <v>45</v>
      </c>
      <c r="E177" s="14" t="s">
        <v>34</v>
      </c>
      <c r="F177" s="14"/>
      <c r="G177" s="14" t="s">
        <v>838</v>
      </c>
      <c r="H177" s="14" t="s">
        <v>37</v>
      </c>
      <c r="I177" s="14" t="s">
        <v>38</v>
      </c>
      <c r="J177" s="14" t="s">
        <v>839</v>
      </c>
      <c r="K177" s="14" t="s">
        <v>40</v>
      </c>
      <c r="L177" s="16" t="s">
        <v>6</v>
      </c>
      <c r="M177" s="14" t="s">
        <v>104</v>
      </c>
      <c r="N177" s="14" t="s">
        <v>105</v>
      </c>
      <c r="O177" s="14"/>
    </row>
    <row r="178" customFormat="false" ht="68.65" hidden="false" customHeight="false" outlineLevel="0" collapsed="false">
      <c r="A178" s="14" t="n">
        <v>177</v>
      </c>
      <c r="B178" s="14" t="s">
        <v>840</v>
      </c>
      <c r="C178" s="14" t="s">
        <v>841</v>
      </c>
      <c r="D178" s="14" t="s">
        <v>34</v>
      </c>
      <c r="E178" s="14" t="s">
        <v>842</v>
      </c>
      <c r="F178" s="14" t="s">
        <v>61</v>
      </c>
      <c r="G178" s="14" t="s">
        <v>843</v>
      </c>
      <c r="H178" s="14" t="s">
        <v>844</v>
      </c>
      <c r="I178" s="14" t="s">
        <v>38</v>
      </c>
      <c r="J178" s="14" t="s">
        <v>845</v>
      </c>
      <c r="K178" s="14" t="s">
        <v>57</v>
      </c>
      <c r="L178" s="18" t="s">
        <v>8</v>
      </c>
      <c r="M178" s="14" t="s">
        <v>846</v>
      </c>
      <c r="N178" s="14" t="s">
        <v>847</v>
      </c>
      <c r="O178" s="14" t="s">
        <v>254</v>
      </c>
    </row>
    <row r="179" customFormat="false" ht="55.2" hidden="false" customHeight="false" outlineLevel="0" collapsed="false">
      <c r="A179" s="14" t="n">
        <v>178</v>
      </c>
      <c r="B179" s="14" t="s">
        <v>848</v>
      </c>
      <c r="C179" s="14" t="s">
        <v>849</v>
      </c>
      <c r="D179" s="14" t="s">
        <v>46</v>
      </c>
      <c r="E179" s="14" t="s">
        <v>45</v>
      </c>
      <c r="F179" s="14"/>
      <c r="G179" s="14" t="s">
        <v>850</v>
      </c>
      <c r="H179" s="14" t="s">
        <v>175</v>
      </c>
      <c r="I179" s="14" t="s">
        <v>176</v>
      </c>
      <c r="J179" s="14" t="s">
        <v>851</v>
      </c>
      <c r="K179" s="14" t="s">
        <v>40</v>
      </c>
      <c r="L179" s="16" t="s">
        <v>6</v>
      </c>
      <c r="M179" s="14" t="s">
        <v>104</v>
      </c>
      <c r="N179" s="14" t="s">
        <v>105</v>
      </c>
      <c r="O179" s="14"/>
    </row>
    <row r="180" customFormat="false" ht="55.2" hidden="false" customHeight="false" outlineLevel="0" collapsed="false">
      <c r="A180" s="14" t="n">
        <v>179</v>
      </c>
      <c r="B180" s="14" t="s">
        <v>852</v>
      </c>
      <c r="C180" s="14" t="s">
        <v>853</v>
      </c>
      <c r="D180" s="14" t="s">
        <v>34</v>
      </c>
      <c r="E180" s="14" t="s">
        <v>45</v>
      </c>
      <c r="F180" s="14"/>
      <c r="G180" s="14" t="s">
        <v>854</v>
      </c>
      <c r="H180" s="14" t="s">
        <v>37</v>
      </c>
      <c r="I180" s="14" t="s">
        <v>38</v>
      </c>
      <c r="J180" s="14" t="s">
        <v>855</v>
      </c>
      <c r="K180" s="14" t="s">
        <v>40</v>
      </c>
      <c r="L180" s="16" t="s">
        <v>6</v>
      </c>
      <c r="M180" s="14" t="s">
        <v>104</v>
      </c>
      <c r="N180" s="14" t="s">
        <v>105</v>
      </c>
      <c r="O180" s="14"/>
    </row>
    <row r="181" customFormat="false" ht="55.2" hidden="false" customHeight="false" outlineLevel="0" collapsed="false">
      <c r="A181" s="14" t="n">
        <v>180</v>
      </c>
      <c r="B181" s="14" t="s">
        <v>856</v>
      </c>
      <c r="C181" s="14" t="s">
        <v>857</v>
      </c>
      <c r="D181" s="14" t="s">
        <v>45</v>
      </c>
      <c r="E181" s="14" t="s">
        <v>34</v>
      </c>
      <c r="F181" s="14" t="s">
        <v>219</v>
      </c>
      <c r="G181" s="14" t="s">
        <v>858</v>
      </c>
      <c r="H181" s="14" t="s">
        <v>37</v>
      </c>
      <c r="I181" s="14" t="s">
        <v>38</v>
      </c>
      <c r="J181" s="14" t="s">
        <v>859</v>
      </c>
      <c r="K181" s="14" t="s">
        <v>40</v>
      </c>
      <c r="L181" s="16" t="s">
        <v>6</v>
      </c>
      <c r="M181" s="14" t="s">
        <v>104</v>
      </c>
      <c r="N181" s="14" t="s">
        <v>105</v>
      </c>
      <c r="O181" s="14"/>
    </row>
    <row r="182" customFormat="false" ht="55.2" hidden="false" customHeight="false" outlineLevel="0" collapsed="false">
      <c r="A182" s="14" t="n">
        <v>181</v>
      </c>
      <c r="B182" s="14" t="s">
        <v>860</v>
      </c>
      <c r="C182" s="14" t="s">
        <v>861</v>
      </c>
      <c r="D182" s="14" t="s">
        <v>219</v>
      </c>
      <c r="E182" s="14" t="s">
        <v>67</v>
      </c>
      <c r="F182" s="14" t="s">
        <v>35</v>
      </c>
      <c r="G182" s="14" t="s">
        <v>862</v>
      </c>
      <c r="H182" s="14" t="s">
        <v>37</v>
      </c>
      <c r="I182" s="14" t="s">
        <v>38</v>
      </c>
      <c r="J182" s="14" t="s">
        <v>863</v>
      </c>
      <c r="K182" s="14" t="s">
        <v>40</v>
      </c>
      <c r="L182" s="16" t="s">
        <v>6</v>
      </c>
      <c r="M182" s="14" t="s">
        <v>104</v>
      </c>
      <c r="N182" s="14" t="s">
        <v>105</v>
      </c>
      <c r="O182" s="14"/>
    </row>
    <row r="183" customFormat="false" ht="55.2" hidden="false" customHeight="false" outlineLevel="0" collapsed="false">
      <c r="A183" s="14" t="n">
        <v>182</v>
      </c>
      <c r="B183" s="14" t="s">
        <v>864</v>
      </c>
      <c r="C183" s="14" t="s">
        <v>865</v>
      </c>
      <c r="D183" s="14" t="s">
        <v>46</v>
      </c>
      <c r="E183" s="14" t="s">
        <v>45</v>
      </c>
      <c r="F183" s="14"/>
      <c r="G183" s="14" t="s">
        <v>866</v>
      </c>
      <c r="H183" s="14" t="s">
        <v>63</v>
      </c>
      <c r="I183" s="14" t="s">
        <v>176</v>
      </c>
      <c r="J183" s="14" t="s">
        <v>867</v>
      </c>
      <c r="K183" s="14" t="s">
        <v>40</v>
      </c>
      <c r="L183" s="16" t="s">
        <v>6</v>
      </c>
      <c r="M183" s="14" t="s">
        <v>104</v>
      </c>
      <c r="N183" s="14" t="s">
        <v>105</v>
      </c>
      <c r="O183" s="14"/>
    </row>
    <row r="184" customFormat="false" ht="55.2" hidden="false" customHeight="false" outlineLevel="0" collapsed="false">
      <c r="A184" s="14" t="n">
        <v>183</v>
      </c>
      <c r="B184" s="14" t="s">
        <v>868</v>
      </c>
      <c r="C184" s="14" t="s">
        <v>869</v>
      </c>
      <c r="D184" s="14" t="s">
        <v>45</v>
      </c>
      <c r="E184" s="14" t="s">
        <v>431</v>
      </c>
      <c r="F184" s="14" t="s">
        <v>460</v>
      </c>
      <c r="G184" s="14" t="s">
        <v>870</v>
      </c>
      <c r="H184" s="14" t="s">
        <v>37</v>
      </c>
      <c r="I184" s="14" t="s">
        <v>433</v>
      </c>
      <c r="J184" s="14" t="s">
        <v>871</v>
      </c>
      <c r="K184" s="14" t="s">
        <v>40</v>
      </c>
      <c r="L184" s="16" t="s">
        <v>6</v>
      </c>
      <c r="M184" s="14" t="s">
        <v>104</v>
      </c>
      <c r="N184" s="14" t="s">
        <v>105</v>
      </c>
      <c r="O184" s="14"/>
    </row>
    <row r="185" customFormat="false" ht="55.2" hidden="false" customHeight="false" outlineLevel="0" collapsed="false">
      <c r="A185" s="14" t="n">
        <v>184</v>
      </c>
      <c r="B185" s="14" t="s">
        <v>872</v>
      </c>
      <c r="C185" s="14" t="s">
        <v>811</v>
      </c>
      <c r="D185" s="14" t="s">
        <v>45</v>
      </c>
      <c r="E185" s="14" t="s">
        <v>431</v>
      </c>
      <c r="F185" s="14"/>
      <c r="G185" s="14" t="s">
        <v>873</v>
      </c>
      <c r="H185" s="14" t="s">
        <v>48</v>
      </c>
      <c r="I185" s="14" t="s">
        <v>433</v>
      </c>
      <c r="J185" s="14" t="s">
        <v>874</v>
      </c>
      <c r="K185" s="14" t="s">
        <v>57</v>
      </c>
      <c r="L185" s="17" t="s">
        <v>7</v>
      </c>
      <c r="M185" s="14" t="s">
        <v>875</v>
      </c>
      <c r="N185" s="14" t="s">
        <v>876</v>
      </c>
      <c r="O185" s="14"/>
    </row>
    <row r="186" customFormat="false" ht="41.75" hidden="false" customHeight="false" outlineLevel="0" collapsed="false">
      <c r="A186" s="14" t="n">
        <v>185</v>
      </c>
      <c r="B186" s="14" t="s">
        <v>877</v>
      </c>
      <c r="C186" s="14" t="s">
        <v>878</v>
      </c>
      <c r="D186" s="14" t="s">
        <v>34</v>
      </c>
      <c r="E186" s="14" t="s">
        <v>45</v>
      </c>
      <c r="F186" s="14"/>
      <c r="G186" s="14" t="s">
        <v>879</v>
      </c>
      <c r="H186" s="14" t="s">
        <v>37</v>
      </c>
      <c r="I186" s="14" t="s">
        <v>38</v>
      </c>
      <c r="J186" s="14" t="s">
        <v>880</v>
      </c>
      <c r="K186" s="14" t="s">
        <v>40</v>
      </c>
      <c r="L186" s="16" t="s">
        <v>6</v>
      </c>
      <c r="M186" s="14" t="s">
        <v>104</v>
      </c>
      <c r="N186" s="14" t="s">
        <v>105</v>
      </c>
      <c r="O186" s="14"/>
    </row>
    <row r="187" customFormat="false" ht="55.2" hidden="false" customHeight="false" outlineLevel="0" collapsed="false">
      <c r="A187" s="14" t="n">
        <v>186</v>
      </c>
      <c r="B187" s="14" t="s">
        <v>881</v>
      </c>
      <c r="C187" s="14" t="s">
        <v>882</v>
      </c>
      <c r="D187" s="14" t="s">
        <v>346</v>
      </c>
      <c r="E187" s="14" t="s">
        <v>45</v>
      </c>
      <c r="F187" s="14" t="s">
        <v>46</v>
      </c>
      <c r="G187" s="14" t="s">
        <v>883</v>
      </c>
      <c r="H187" s="14" t="s">
        <v>175</v>
      </c>
      <c r="I187" s="14" t="s">
        <v>176</v>
      </c>
      <c r="J187" s="14" t="s">
        <v>884</v>
      </c>
      <c r="K187" s="14" t="s">
        <v>40</v>
      </c>
      <c r="L187" s="16" t="s">
        <v>6</v>
      </c>
      <c r="M187" s="14" t="s">
        <v>104</v>
      </c>
      <c r="N187" s="14" t="s">
        <v>105</v>
      </c>
      <c r="O187" s="14"/>
    </row>
    <row r="188" customFormat="false" ht="55.2" hidden="false" customHeight="false" outlineLevel="0" collapsed="false">
      <c r="A188" s="14" t="n">
        <v>187</v>
      </c>
      <c r="B188" s="14" t="s">
        <v>885</v>
      </c>
      <c r="C188" s="14" t="s">
        <v>886</v>
      </c>
      <c r="D188" s="14" t="s">
        <v>45</v>
      </c>
      <c r="E188" s="14" t="s">
        <v>34</v>
      </c>
      <c r="F188" s="14"/>
      <c r="G188" s="14" t="s">
        <v>887</v>
      </c>
      <c r="H188" s="14" t="s">
        <v>309</v>
      </c>
      <c r="I188" s="14" t="s">
        <v>49</v>
      </c>
      <c r="J188" s="14" t="s">
        <v>888</v>
      </c>
      <c r="K188" s="14" t="s">
        <v>40</v>
      </c>
      <c r="L188" s="16" t="s">
        <v>6</v>
      </c>
      <c r="M188" s="14" t="s">
        <v>104</v>
      </c>
      <c r="N188" s="14" t="s">
        <v>105</v>
      </c>
      <c r="O188" s="14"/>
    </row>
    <row r="189" customFormat="false" ht="55.2" hidden="false" customHeight="false" outlineLevel="0" collapsed="false">
      <c r="A189" s="14" t="n">
        <v>188</v>
      </c>
      <c r="B189" s="14" t="s">
        <v>889</v>
      </c>
      <c r="C189" s="14" t="s">
        <v>890</v>
      </c>
      <c r="D189" s="14" t="s">
        <v>34</v>
      </c>
      <c r="E189" s="14" t="s">
        <v>45</v>
      </c>
      <c r="F189" s="14" t="s">
        <v>219</v>
      </c>
      <c r="G189" s="14" t="s">
        <v>891</v>
      </c>
      <c r="H189" s="14" t="s">
        <v>37</v>
      </c>
      <c r="I189" s="14" t="s">
        <v>38</v>
      </c>
      <c r="J189" s="14" t="s">
        <v>892</v>
      </c>
      <c r="K189" s="14" t="s">
        <v>40</v>
      </c>
      <c r="L189" s="16" t="s">
        <v>6</v>
      </c>
      <c r="M189" s="14" t="s">
        <v>104</v>
      </c>
      <c r="N189" s="14" t="s">
        <v>105</v>
      </c>
      <c r="O189" s="14"/>
    </row>
    <row r="190" customFormat="false" ht="55.2" hidden="false" customHeight="false" outlineLevel="0" collapsed="false">
      <c r="A190" s="14" t="n">
        <v>189</v>
      </c>
      <c r="B190" s="14" t="s">
        <v>893</v>
      </c>
      <c r="C190" s="14" t="s">
        <v>894</v>
      </c>
      <c r="D190" s="14" t="s">
        <v>34</v>
      </c>
      <c r="E190" s="14" t="s">
        <v>45</v>
      </c>
      <c r="F190" s="14"/>
      <c r="G190" s="14" t="s">
        <v>895</v>
      </c>
      <c r="H190" s="14" t="s">
        <v>37</v>
      </c>
      <c r="I190" s="14" t="s">
        <v>38</v>
      </c>
      <c r="J190" s="14" t="s">
        <v>896</v>
      </c>
      <c r="K190" s="14" t="s">
        <v>57</v>
      </c>
      <c r="L190" s="17" t="s">
        <v>7</v>
      </c>
      <c r="M190" s="14" t="s">
        <v>897</v>
      </c>
      <c r="N190" s="14" t="s">
        <v>898</v>
      </c>
      <c r="O190" s="14"/>
    </row>
    <row r="191" customFormat="false" ht="55.2" hidden="false" customHeight="false" outlineLevel="0" collapsed="false">
      <c r="A191" s="14" t="n">
        <v>190</v>
      </c>
      <c r="B191" s="14" t="s">
        <v>899</v>
      </c>
      <c r="C191" s="14" t="s">
        <v>900</v>
      </c>
      <c r="D191" s="14" t="s">
        <v>45</v>
      </c>
      <c r="E191" s="14" t="s">
        <v>431</v>
      </c>
      <c r="F191" s="14"/>
      <c r="G191" s="14" t="s">
        <v>901</v>
      </c>
      <c r="H191" s="14" t="s">
        <v>37</v>
      </c>
      <c r="I191" s="14" t="s">
        <v>433</v>
      </c>
      <c r="J191" s="14" t="s">
        <v>902</v>
      </c>
      <c r="K191" s="14" t="s">
        <v>40</v>
      </c>
      <c r="L191" s="16" t="s">
        <v>6</v>
      </c>
      <c r="M191" s="14" t="s">
        <v>104</v>
      </c>
      <c r="N191" s="14" t="s">
        <v>105</v>
      </c>
      <c r="O191" s="14"/>
    </row>
    <row r="192" customFormat="false" ht="55.2" hidden="false" customHeight="false" outlineLevel="0" collapsed="false">
      <c r="A192" s="14" t="n">
        <v>191</v>
      </c>
      <c r="B192" s="14" t="s">
        <v>903</v>
      </c>
      <c r="C192" s="14" t="s">
        <v>904</v>
      </c>
      <c r="D192" s="14" t="s">
        <v>46</v>
      </c>
      <c r="E192" s="14" t="s">
        <v>45</v>
      </c>
      <c r="F192" s="14"/>
      <c r="G192" s="14" t="s">
        <v>905</v>
      </c>
      <c r="H192" s="14" t="s">
        <v>175</v>
      </c>
      <c r="I192" s="14" t="s">
        <v>176</v>
      </c>
      <c r="J192" s="14" t="s">
        <v>906</v>
      </c>
      <c r="K192" s="14" t="s">
        <v>40</v>
      </c>
      <c r="L192" s="16" t="s">
        <v>6</v>
      </c>
      <c r="M192" s="14" t="s">
        <v>104</v>
      </c>
      <c r="N192" s="14" t="s">
        <v>105</v>
      </c>
      <c r="O192" s="14"/>
    </row>
    <row r="193" customFormat="false" ht="55.2" hidden="false" customHeight="false" outlineLevel="0" collapsed="false">
      <c r="A193" s="14" t="n">
        <v>192</v>
      </c>
      <c r="B193" s="14" t="s">
        <v>907</v>
      </c>
      <c r="C193" s="14" t="s">
        <v>908</v>
      </c>
      <c r="D193" s="14" t="s">
        <v>34</v>
      </c>
      <c r="E193" s="14" t="s">
        <v>61</v>
      </c>
      <c r="F193" s="14"/>
      <c r="G193" s="14" t="s">
        <v>909</v>
      </c>
      <c r="H193" s="14" t="s">
        <v>63</v>
      </c>
      <c r="I193" s="14" t="s">
        <v>38</v>
      </c>
      <c r="J193" s="14" t="s">
        <v>910</v>
      </c>
      <c r="K193" s="14" t="s">
        <v>40</v>
      </c>
      <c r="L193" s="16" t="s">
        <v>6</v>
      </c>
      <c r="M193" s="14" t="s">
        <v>104</v>
      </c>
      <c r="N193" s="14" t="s">
        <v>105</v>
      </c>
      <c r="O193" s="14"/>
    </row>
    <row r="194" customFormat="false" ht="55.2" hidden="false" customHeight="false" outlineLevel="0" collapsed="false">
      <c r="A194" s="14" t="n">
        <v>193</v>
      </c>
      <c r="B194" s="14" t="s">
        <v>911</v>
      </c>
      <c r="C194" s="14" t="s">
        <v>912</v>
      </c>
      <c r="D194" s="14" t="s">
        <v>45</v>
      </c>
      <c r="E194" s="14" t="s">
        <v>34</v>
      </c>
      <c r="F194" s="14"/>
      <c r="G194" s="14" t="s">
        <v>913</v>
      </c>
      <c r="H194" s="14" t="s">
        <v>37</v>
      </c>
      <c r="I194" s="14" t="s">
        <v>38</v>
      </c>
      <c r="J194" s="14" t="s">
        <v>914</v>
      </c>
      <c r="K194" s="14" t="s">
        <v>40</v>
      </c>
      <c r="L194" s="16" t="s">
        <v>6</v>
      </c>
      <c r="M194" s="14" t="s">
        <v>104</v>
      </c>
      <c r="N194" s="14" t="s">
        <v>105</v>
      </c>
      <c r="O194" s="14"/>
    </row>
    <row r="195" customFormat="false" ht="55.2" hidden="false" customHeight="false" outlineLevel="0" collapsed="false">
      <c r="A195" s="14" t="n">
        <v>194</v>
      </c>
      <c r="B195" s="14" t="s">
        <v>915</v>
      </c>
      <c r="C195" s="14" t="s">
        <v>916</v>
      </c>
      <c r="D195" s="14" t="s">
        <v>219</v>
      </c>
      <c r="E195" s="14" t="s">
        <v>35</v>
      </c>
      <c r="F195" s="14"/>
      <c r="G195" s="14" t="s">
        <v>917</v>
      </c>
      <c r="H195" s="14" t="s">
        <v>37</v>
      </c>
      <c r="I195" s="14" t="s">
        <v>38</v>
      </c>
      <c r="J195" s="14" t="s">
        <v>918</v>
      </c>
      <c r="K195" s="14" t="s">
        <v>40</v>
      </c>
      <c r="L195" s="16" t="s">
        <v>6</v>
      </c>
      <c r="M195" s="14" t="s">
        <v>104</v>
      </c>
      <c r="N195" s="14" t="s">
        <v>105</v>
      </c>
      <c r="O195" s="14"/>
    </row>
    <row r="196" customFormat="false" ht="55.2" hidden="false" customHeight="false" outlineLevel="0" collapsed="false">
      <c r="A196" s="14" t="n">
        <v>195</v>
      </c>
      <c r="B196" s="14" t="s">
        <v>919</v>
      </c>
      <c r="C196" s="14" t="s">
        <v>920</v>
      </c>
      <c r="D196" s="14" t="s">
        <v>45</v>
      </c>
      <c r="E196" s="14" t="s">
        <v>34</v>
      </c>
      <c r="F196" s="14" t="s">
        <v>46</v>
      </c>
      <c r="G196" s="14" t="s">
        <v>921</v>
      </c>
      <c r="H196" s="14" t="s">
        <v>37</v>
      </c>
      <c r="I196" s="14" t="s">
        <v>38</v>
      </c>
      <c r="J196" s="14" t="s">
        <v>922</v>
      </c>
      <c r="K196" s="14" t="s">
        <v>40</v>
      </c>
      <c r="L196" s="16" t="s">
        <v>6</v>
      </c>
      <c r="M196" s="14" t="s">
        <v>104</v>
      </c>
      <c r="N196" s="14" t="s">
        <v>105</v>
      </c>
      <c r="O196" s="14"/>
    </row>
    <row r="197" customFormat="false" ht="55.2" hidden="false" customHeight="false" outlineLevel="0" collapsed="false">
      <c r="A197" s="14" t="n">
        <v>196</v>
      </c>
      <c r="B197" s="14" t="s">
        <v>923</v>
      </c>
      <c r="C197" s="14" t="s">
        <v>924</v>
      </c>
      <c r="D197" s="14" t="s">
        <v>46</v>
      </c>
      <c r="E197" s="14" t="s">
        <v>45</v>
      </c>
      <c r="F197" s="14" t="s">
        <v>346</v>
      </c>
      <c r="G197" s="14" t="s">
        <v>925</v>
      </c>
      <c r="H197" s="14" t="s">
        <v>175</v>
      </c>
      <c r="I197" s="14" t="s">
        <v>176</v>
      </c>
      <c r="J197" s="14" t="s">
        <v>926</v>
      </c>
      <c r="K197" s="14" t="s">
        <v>40</v>
      </c>
      <c r="L197" s="16" t="s">
        <v>6</v>
      </c>
      <c r="M197" s="14" t="s">
        <v>104</v>
      </c>
      <c r="N197" s="14" t="s">
        <v>105</v>
      </c>
      <c r="O197" s="14"/>
    </row>
    <row r="198" customFormat="false" ht="41.75" hidden="false" customHeight="false" outlineLevel="0" collapsed="false">
      <c r="A198" s="14" t="n">
        <v>197</v>
      </c>
      <c r="B198" s="14" t="s">
        <v>927</v>
      </c>
      <c r="C198" s="14" t="s">
        <v>928</v>
      </c>
      <c r="D198" s="14" t="s">
        <v>34</v>
      </c>
      <c r="E198" s="14" t="s">
        <v>45</v>
      </c>
      <c r="F198" s="14"/>
      <c r="G198" s="14" t="s">
        <v>929</v>
      </c>
      <c r="H198" s="14" t="s">
        <v>48</v>
      </c>
      <c r="I198" s="14" t="s">
        <v>38</v>
      </c>
      <c r="J198" s="14" t="s">
        <v>930</v>
      </c>
      <c r="K198" s="14" t="s">
        <v>40</v>
      </c>
      <c r="L198" s="16" t="s">
        <v>6</v>
      </c>
      <c r="M198" s="14" t="s">
        <v>104</v>
      </c>
      <c r="N198" s="14" t="s">
        <v>105</v>
      </c>
      <c r="O198" s="14"/>
    </row>
    <row r="199" customFormat="false" ht="28.35" hidden="false" customHeight="false" outlineLevel="0" collapsed="false">
      <c r="A199" s="14" t="n">
        <v>198</v>
      </c>
      <c r="B199" s="14" t="s">
        <v>931</v>
      </c>
      <c r="C199" s="14" t="s">
        <v>932</v>
      </c>
      <c r="D199" s="14" t="s">
        <v>35</v>
      </c>
      <c r="E199" s="14" t="s">
        <v>297</v>
      </c>
      <c r="F199" s="14"/>
      <c r="G199" s="14" t="s">
        <v>933</v>
      </c>
      <c r="H199" s="14" t="s">
        <v>37</v>
      </c>
      <c r="I199" s="14" t="s">
        <v>38</v>
      </c>
      <c r="J199" s="14" t="s">
        <v>934</v>
      </c>
      <c r="K199" s="14" t="s">
        <v>57</v>
      </c>
      <c r="L199" s="15" t="s">
        <v>9</v>
      </c>
      <c r="M199" s="14" t="s">
        <v>935</v>
      </c>
      <c r="N199" s="14" t="s">
        <v>157</v>
      </c>
      <c r="O199" s="14"/>
    </row>
    <row r="200" customFormat="false" ht="68.65" hidden="false" customHeight="false" outlineLevel="0" collapsed="false">
      <c r="A200" s="14" t="n">
        <v>199</v>
      </c>
      <c r="B200" s="14" t="s">
        <v>936</v>
      </c>
      <c r="C200" s="14" t="s">
        <v>937</v>
      </c>
      <c r="D200" s="14" t="s">
        <v>199</v>
      </c>
      <c r="E200" s="14" t="s">
        <v>45</v>
      </c>
      <c r="F200" s="14" t="s">
        <v>34</v>
      </c>
      <c r="G200" s="14" t="s">
        <v>938</v>
      </c>
      <c r="H200" s="14" t="s">
        <v>939</v>
      </c>
      <c r="I200" s="14" t="s">
        <v>176</v>
      </c>
      <c r="J200" s="14" t="s">
        <v>940</v>
      </c>
      <c r="K200" s="14" t="s">
        <v>57</v>
      </c>
      <c r="L200" s="15" t="s">
        <v>9</v>
      </c>
      <c r="M200" s="14" t="s">
        <v>941</v>
      </c>
      <c r="N200" s="14" t="s">
        <v>942</v>
      </c>
      <c r="O200" s="14"/>
    </row>
    <row r="201" customFormat="false" ht="55.2" hidden="false" customHeight="false" outlineLevel="0" collapsed="false">
      <c r="A201" s="14" t="n">
        <v>200</v>
      </c>
      <c r="B201" s="14" t="s">
        <v>943</v>
      </c>
      <c r="C201" s="14" t="s">
        <v>944</v>
      </c>
      <c r="D201" s="14" t="s">
        <v>45</v>
      </c>
      <c r="E201" s="14" t="s">
        <v>34</v>
      </c>
      <c r="F201" s="14"/>
      <c r="G201" s="14" t="s">
        <v>945</v>
      </c>
      <c r="H201" s="14" t="s">
        <v>37</v>
      </c>
      <c r="I201" s="14" t="s">
        <v>38</v>
      </c>
      <c r="J201" s="14" t="s">
        <v>946</v>
      </c>
      <c r="K201" s="14" t="s">
        <v>40</v>
      </c>
      <c r="L201" s="16" t="s">
        <v>6</v>
      </c>
      <c r="M201" s="14" t="s">
        <v>104</v>
      </c>
      <c r="N201" s="14" t="s">
        <v>105</v>
      </c>
      <c r="O201" s="14"/>
    </row>
    <row r="202" customFormat="false" ht="41.75" hidden="false" customHeight="false" outlineLevel="0" collapsed="false">
      <c r="A202" s="14" t="n">
        <v>201</v>
      </c>
      <c r="B202" s="14" t="s">
        <v>947</v>
      </c>
      <c r="C202" s="14" t="s">
        <v>948</v>
      </c>
      <c r="D202" s="14" t="s">
        <v>45</v>
      </c>
      <c r="E202" s="14" t="s">
        <v>34</v>
      </c>
      <c r="F202" s="14" t="s">
        <v>46</v>
      </c>
      <c r="G202" s="14" t="s">
        <v>949</v>
      </c>
      <c r="H202" s="14" t="s">
        <v>37</v>
      </c>
      <c r="I202" s="14" t="s">
        <v>38</v>
      </c>
      <c r="J202" s="14" t="s">
        <v>950</v>
      </c>
      <c r="K202" s="14" t="s">
        <v>57</v>
      </c>
      <c r="L202" s="17" t="s">
        <v>7</v>
      </c>
      <c r="M202" s="14" t="s">
        <v>951</v>
      </c>
      <c r="N202" s="14" t="s">
        <v>710</v>
      </c>
      <c r="O202" s="14"/>
    </row>
    <row r="203" customFormat="false" ht="55.2" hidden="false" customHeight="false" outlineLevel="0" collapsed="false">
      <c r="A203" s="14" t="n">
        <v>202</v>
      </c>
      <c r="B203" s="14" t="s">
        <v>952</v>
      </c>
      <c r="C203" s="14" t="s">
        <v>894</v>
      </c>
      <c r="D203" s="14" t="s">
        <v>346</v>
      </c>
      <c r="E203" s="14" t="s">
        <v>45</v>
      </c>
      <c r="F203" s="14"/>
      <c r="G203" s="14" t="s">
        <v>953</v>
      </c>
      <c r="H203" s="14" t="s">
        <v>175</v>
      </c>
      <c r="I203" s="14" t="s">
        <v>176</v>
      </c>
      <c r="J203" s="14" t="s">
        <v>954</v>
      </c>
      <c r="K203" s="14" t="s">
        <v>40</v>
      </c>
      <c r="L203" s="16" t="s">
        <v>6</v>
      </c>
      <c r="M203" s="14" t="s">
        <v>104</v>
      </c>
      <c r="N203" s="14" t="s">
        <v>105</v>
      </c>
      <c r="O203" s="14"/>
    </row>
    <row r="204" customFormat="false" ht="41.75" hidden="false" customHeight="false" outlineLevel="0" collapsed="false">
      <c r="A204" s="14" t="n">
        <v>203</v>
      </c>
      <c r="B204" s="14" t="s">
        <v>955</v>
      </c>
      <c r="C204" s="14" t="s">
        <v>956</v>
      </c>
      <c r="D204" s="14" t="s">
        <v>188</v>
      </c>
      <c r="E204" s="14" t="s">
        <v>34</v>
      </c>
      <c r="F204" s="14"/>
      <c r="G204" s="14" t="s">
        <v>957</v>
      </c>
      <c r="H204" s="14" t="s">
        <v>37</v>
      </c>
      <c r="I204" s="14" t="s">
        <v>38</v>
      </c>
      <c r="J204" s="14" t="s">
        <v>958</v>
      </c>
      <c r="K204" s="14" t="s">
        <v>57</v>
      </c>
      <c r="L204" s="15" t="s">
        <v>9</v>
      </c>
      <c r="M204" s="14" t="s">
        <v>959</v>
      </c>
      <c r="N204" s="14" t="s">
        <v>960</v>
      </c>
      <c r="O204" s="14"/>
    </row>
    <row r="205" customFormat="false" ht="55.2" hidden="false" customHeight="false" outlineLevel="0" collapsed="false">
      <c r="A205" s="14" t="n">
        <v>204</v>
      </c>
      <c r="B205" s="14" t="s">
        <v>961</v>
      </c>
      <c r="C205" s="14" t="s">
        <v>962</v>
      </c>
      <c r="D205" s="14" t="s">
        <v>45</v>
      </c>
      <c r="E205" s="14" t="s">
        <v>431</v>
      </c>
      <c r="F205" s="14"/>
      <c r="G205" s="14" t="s">
        <v>963</v>
      </c>
      <c r="H205" s="14" t="s">
        <v>37</v>
      </c>
      <c r="I205" s="14" t="s">
        <v>433</v>
      </c>
      <c r="J205" s="14" t="s">
        <v>964</v>
      </c>
      <c r="K205" s="14" t="s">
        <v>40</v>
      </c>
      <c r="L205" s="16" t="s">
        <v>6</v>
      </c>
      <c r="M205" s="14" t="s">
        <v>104</v>
      </c>
      <c r="N205" s="14" t="s">
        <v>105</v>
      </c>
      <c r="O205" s="14"/>
    </row>
    <row r="206" customFormat="false" ht="55.2" hidden="false" customHeight="false" outlineLevel="0" collapsed="false">
      <c r="A206" s="14" t="n">
        <v>205</v>
      </c>
      <c r="B206" s="14" t="s">
        <v>965</v>
      </c>
      <c r="C206" s="14" t="s">
        <v>966</v>
      </c>
      <c r="D206" s="14" t="s">
        <v>45</v>
      </c>
      <c r="E206" s="14" t="s">
        <v>34</v>
      </c>
      <c r="F206" s="14" t="s">
        <v>219</v>
      </c>
      <c r="G206" s="14" t="s">
        <v>967</v>
      </c>
      <c r="H206" s="14" t="s">
        <v>37</v>
      </c>
      <c r="I206" s="14" t="s">
        <v>38</v>
      </c>
      <c r="J206" s="14" t="s">
        <v>968</v>
      </c>
      <c r="K206" s="14" t="s">
        <v>40</v>
      </c>
      <c r="L206" s="16" t="s">
        <v>6</v>
      </c>
      <c r="M206" s="14" t="s">
        <v>104</v>
      </c>
      <c r="N206" s="14" t="s">
        <v>105</v>
      </c>
      <c r="O206" s="14"/>
    </row>
    <row r="207" customFormat="false" ht="55.2" hidden="false" customHeight="false" outlineLevel="0" collapsed="false">
      <c r="A207" s="14" t="n">
        <v>206</v>
      </c>
      <c r="B207" s="14" t="s">
        <v>969</v>
      </c>
      <c r="C207" s="14" t="s">
        <v>970</v>
      </c>
      <c r="D207" s="14" t="s">
        <v>46</v>
      </c>
      <c r="E207" s="14" t="s">
        <v>45</v>
      </c>
      <c r="F207" s="14"/>
      <c r="G207" s="14" t="s">
        <v>971</v>
      </c>
      <c r="H207" s="14" t="s">
        <v>63</v>
      </c>
      <c r="I207" s="14" t="s">
        <v>176</v>
      </c>
      <c r="J207" s="14" t="s">
        <v>972</v>
      </c>
      <c r="K207" s="14" t="s">
        <v>40</v>
      </c>
      <c r="L207" s="16" t="s">
        <v>6</v>
      </c>
      <c r="M207" s="14" t="s">
        <v>104</v>
      </c>
      <c r="N207" s="14" t="s">
        <v>105</v>
      </c>
      <c r="O207" s="14"/>
    </row>
    <row r="208" customFormat="false" ht="55.2" hidden="false" customHeight="false" outlineLevel="0" collapsed="false">
      <c r="A208" s="14" t="n">
        <v>207</v>
      </c>
      <c r="B208" s="14" t="s">
        <v>973</v>
      </c>
      <c r="C208" s="14" t="s">
        <v>974</v>
      </c>
      <c r="D208" s="14" t="s">
        <v>34</v>
      </c>
      <c r="E208" s="14" t="s">
        <v>45</v>
      </c>
      <c r="F208" s="14"/>
      <c r="G208" s="14" t="s">
        <v>975</v>
      </c>
      <c r="H208" s="14" t="s">
        <v>37</v>
      </c>
      <c r="I208" s="14" t="s">
        <v>38</v>
      </c>
      <c r="J208" s="14" t="s">
        <v>976</v>
      </c>
      <c r="K208" s="14" t="s">
        <v>40</v>
      </c>
      <c r="L208" s="16" t="s">
        <v>6</v>
      </c>
      <c r="M208" s="14" t="s">
        <v>104</v>
      </c>
      <c r="N208" s="14" t="s">
        <v>105</v>
      </c>
      <c r="O208" s="14"/>
    </row>
    <row r="209" customFormat="false" ht="55.2" hidden="false" customHeight="false" outlineLevel="0" collapsed="false">
      <c r="A209" s="14" t="n">
        <v>208</v>
      </c>
      <c r="B209" s="14" t="s">
        <v>977</v>
      </c>
      <c r="C209" s="14" t="s">
        <v>978</v>
      </c>
      <c r="D209" s="14" t="s">
        <v>45</v>
      </c>
      <c r="E209" s="14" t="s">
        <v>34</v>
      </c>
      <c r="F209" s="14" t="s">
        <v>46</v>
      </c>
      <c r="G209" s="14" t="s">
        <v>979</v>
      </c>
      <c r="H209" s="14" t="s">
        <v>63</v>
      </c>
      <c r="I209" s="14" t="s">
        <v>49</v>
      </c>
      <c r="J209" s="14" t="s">
        <v>980</v>
      </c>
      <c r="K209" s="14" t="s">
        <v>40</v>
      </c>
      <c r="L209" s="16" t="s">
        <v>6</v>
      </c>
      <c r="M209" s="14" t="s">
        <v>104</v>
      </c>
      <c r="N209" s="14" t="s">
        <v>105</v>
      </c>
      <c r="O209" s="14"/>
    </row>
    <row r="210" customFormat="false" ht="55.2" hidden="false" customHeight="false" outlineLevel="0" collapsed="false">
      <c r="A210" s="14" t="n">
        <v>209</v>
      </c>
      <c r="B210" s="14" t="s">
        <v>981</v>
      </c>
      <c r="C210" s="14" t="s">
        <v>982</v>
      </c>
      <c r="D210" s="14" t="s">
        <v>34</v>
      </c>
      <c r="E210" s="14" t="s">
        <v>61</v>
      </c>
      <c r="F210" s="14"/>
      <c r="G210" s="14" t="s">
        <v>983</v>
      </c>
      <c r="H210" s="14" t="s">
        <v>63</v>
      </c>
      <c r="I210" s="14" t="s">
        <v>38</v>
      </c>
      <c r="J210" s="14" t="s">
        <v>984</v>
      </c>
      <c r="K210" s="14" t="s">
        <v>40</v>
      </c>
      <c r="L210" s="16" t="s">
        <v>6</v>
      </c>
      <c r="M210" s="14" t="s">
        <v>104</v>
      </c>
      <c r="N210" s="14" t="s">
        <v>105</v>
      </c>
      <c r="O210" s="14"/>
    </row>
    <row r="211" customFormat="false" ht="68.65" hidden="false" customHeight="false" outlineLevel="0" collapsed="false">
      <c r="A211" s="14" t="n">
        <v>210</v>
      </c>
      <c r="B211" s="14" t="s">
        <v>985</v>
      </c>
      <c r="C211" s="14" t="s">
        <v>986</v>
      </c>
      <c r="D211" s="14" t="s">
        <v>45</v>
      </c>
      <c r="E211" s="14" t="s">
        <v>987</v>
      </c>
      <c r="F211" s="14"/>
      <c r="G211" s="14" t="s">
        <v>988</v>
      </c>
      <c r="H211" s="14" t="s">
        <v>37</v>
      </c>
      <c r="I211" s="14" t="s">
        <v>38</v>
      </c>
      <c r="J211" s="14" t="s">
        <v>989</v>
      </c>
      <c r="K211" s="14" t="s">
        <v>57</v>
      </c>
      <c r="L211" s="18" t="s">
        <v>8</v>
      </c>
      <c r="M211" s="14" t="s">
        <v>990</v>
      </c>
      <c r="N211" s="14" t="s">
        <v>991</v>
      </c>
      <c r="O211" s="14"/>
    </row>
    <row r="212" customFormat="false" ht="55.2" hidden="false" customHeight="false" outlineLevel="0" collapsed="false">
      <c r="A212" s="14" t="n">
        <v>211</v>
      </c>
      <c r="B212" s="14" t="s">
        <v>992</v>
      </c>
      <c r="C212" s="14" t="s">
        <v>993</v>
      </c>
      <c r="D212" s="14" t="s">
        <v>46</v>
      </c>
      <c r="E212" s="14" t="s">
        <v>45</v>
      </c>
      <c r="F212" s="14"/>
      <c r="G212" s="14" t="s">
        <v>994</v>
      </c>
      <c r="H212" s="14" t="s">
        <v>175</v>
      </c>
      <c r="I212" s="14" t="s">
        <v>176</v>
      </c>
      <c r="J212" s="14" t="s">
        <v>995</v>
      </c>
      <c r="K212" s="14" t="s">
        <v>40</v>
      </c>
      <c r="L212" s="16" t="s">
        <v>6</v>
      </c>
      <c r="M212" s="14" t="s">
        <v>104</v>
      </c>
      <c r="N212" s="14" t="s">
        <v>105</v>
      </c>
      <c r="O212" s="14"/>
    </row>
    <row r="213" customFormat="false" ht="55.2" hidden="false" customHeight="false" outlineLevel="0" collapsed="false">
      <c r="A213" s="14" t="n">
        <v>212</v>
      </c>
      <c r="B213" s="14" t="s">
        <v>996</v>
      </c>
      <c r="C213" s="14" t="s">
        <v>997</v>
      </c>
      <c r="D213" s="14" t="s">
        <v>219</v>
      </c>
      <c r="E213" s="14" t="s">
        <v>35</v>
      </c>
      <c r="F213" s="14" t="s">
        <v>67</v>
      </c>
      <c r="G213" s="14" t="s">
        <v>998</v>
      </c>
      <c r="H213" s="14" t="s">
        <v>37</v>
      </c>
      <c r="I213" s="14" t="s">
        <v>38</v>
      </c>
      <c r="J213" s="14" t="s">
        <v>999</v>
      </c>
      <c r="K213" s="14" t="s">
        <v>40</v>
      </c>
      <c r="L213" s="16" t="s">
        <v>6</v>
      </c>
      <c r="M213" s="14" t="s">
        <v>104</v>
      </c>
      <c r="N213" s="14" t="s">
        <v>105</v>
      </c>
      <c r="O213" s="14"/>
    </row>
    <row r="214" customFormat="false" ht="55.2" hidden="false" customHeight="false" outlineLevel="0" collapsed="false">
      <c r="A214" s="14" t="n">
        <v>213</v>
      </c>
      <c r="B214" s="14" t="s">
        <v>1000</v>
      </c>
      <c r="C214" s="14" t="s">
        <v>1001</v>
      </c>
      <c r="D214" s="14" t="s">
        <v>45</v>
      </c>
      <c r="E214" s="14" t="s">
        <v>34</v>
      </c>
      <c r="F214" s="14"/>
      <c r="G214" s="14" t="s">
        <v>1002</v>
      </c>
      <c r="H214" s="14" t="s">
        <v>37</v>
      </c>
      <c r="I214" s="14" t="s">
        <v>38</v>
      </c>
      <c r="J214" s="14" t="s">
        <v>1003</v>
      </c>
      <c r="K214" s="14" t="s">
        <v>40</v>
      </c>
      <c r="L214" s="16" t="s">
        <v>6</v>
      </c>
      <c r="M214" s="14" t="s">
        <v>104</v>
      </c>
      <c r="N214" s="14" t="s">
        <v>105</v>
      </c>
      <c r="O214" s="14"/>
    </row>
    <row r="215" customFormat="false" ht="55.2" hidden="false" customHeight="false" outlineLevel="0" collapsed="false">
      <c r="A215" s="14" t="n">
        <v>214</v>
      </c>
      <c r="B215" s="14" t="s">
        <v>1004</v>
      </c>
      <c r="C215" s="14" t="s">
        <v>956</v>
      </c>
      <c r="D215" s="14" t="s">
        <v>45</v>
      </c>
      <c r="E215" s="14" t="s">
        <v>431</v>
      </c>
      <c r="F215" s="14" t="s">
        <v>460</v>
      </c>
      <c r="G215" s="14" t="s">
        <v>1005</v>
      </c>
      <c r="H215" s="14" t="s">
        <v>37</v>
      </c>
      <c r="I215" s="14" t="s">
        <v>433</v>
      </c>
      <c r="J215" s="14" t="s">
        <v>1006</v>
      </c>
      <c r="K215" s="14" t="s">
        <v>40</v>
      </c>
      <c r="L215" s="16" t="s">
        <v>6</v>
      </c>
      <c r="M215" s="14" t="s">
        <v>104</v>
      </c>
      <c r="N215" s="14" t="s">
        <v>105</v>
      </c>
      <c r="O215" s="14"/>
    </row>
    <row r="216" customFormat="false" ht="55.2" hidden="false" customHeight="false" outlineLevel="0" collapsed="false">
      <c r="A216" s="14" t="n">
        <v>215</v>
      </c>
      <c r="B216" s="14" t="s">
        <v>1007</v>
      </c>
      <c r="C216" s="14" t="s">
        <v>1008</v>
      </c>
      <c r="D216" s="14" t="s">
        <v>346</v>
      </c>
      <c r="E216" s="14" t="s">
        <v>45</v>
      </c>
      <c r="F216" s="14" t="s">
        <v>46</v>
      </c>
      <c r="G216" s="14" t="s">
        <v>1009</v>
      </c>
      <c r="H216" s="14" t="s">
        <v>175</v>
      </c>
      <c r="I216" s="14" t="s">
        <v>176</v>
      </c>
      <c r="J216" s="14" t="s">
        <v>1010</v>
      </c>
      <c r="K216" s="14" t="s">
        <v>40</v>
      </c>
      <c r="L216" s="16" t="s">
        <v>6</v>
      </c>
      <c r="M216" s="14" t="s">
        <v>104</v>
      </c>
      <c r="N216" s="14" t="s">
        <v>105</v>
      </c>
      <c r="O216" s="14"/>
    </row>
    <row r="217" customFormat="false" ht="55.2" hidden="false" customHeight="false" outlineLevel="0" collapsed="false">
      <c r="A217" s="14" t="n">
        <v>216</v>
      </c>
      <c r="B217" s="14" t="s">
        <v>1011</v>
      </c>
      <c r="C217" s="14" t="s">
        <v>1012</v>
      </c>
      <c r="D217" s="14" t="s">
        <v>34</v>
      </c>
      <c r="E217" s="14" t="s">
        <v>45</v>
      </c>
      <c r="F217" s="14"/>
      <c r="G217" s="14" t="s">
        <v>1013</v>
      </c>
      <c r="H217" s="14" t="s">
        <v>37</v>
      </c>
      <c r="I217" s="14" t="s">
        <v>38</v>
      </c>
      <c r="J217" s="14" t="s">
        <v>1014</v>
      </c>
      <c r="K217" s="14" t="s">
        <v>40</v>
      </c>
      <c r="L217" s="16" t="s">
        <v>6</v>
      </c>
      <c r="M217" s="14" t="s">
        <v>104</v>
      </c>
      <c r="N217" s="14" t="s">
        <v>105</v>
      </c>
      <c r="O217" s="14"/>
    </row>
    <row r="218" customFormat="false" ht="55.2" hidden="false" customHeight="false" outlineLevel="0" collapsed="false">
      <c r="A218" s="14" t="n">
        <v>217</v>
      </c>
      <c r="B218" s="14" t="s">
        <v>1015</v>
      </c>
      <c r="C218" s="14" t="s">
        <v>1016</v>
      </c>
      <c r="D218" s="14" t="s">
        <v>45</v>
      </c>
      <c r="E218" s="14" t="s">
        <v>34</v>
      </c>
      <c r="F218" s="14" t="s">
        <v>219</v>
      </c>
      <c r="G218" s="14" t="s">
        <v>1017</v>
      </c>
      <c r="H218" s="14" t="s">
        <v>309</v>
      </c>
      <c r="I218" s="14" t="s">
        <v>176</v>
      </c>
      <c r="J218" s="14" t="s">
        <v>1018</v>
      </c>
      <c r="K218" s="14" t="s">
        <v>40</v>
      </c>
      <c r="L218" s="16" t="s">
        <v>6</v>
      </c>
      <c r="M218" s="14" t="s">
        <v>104</v>
      </c>
      <c r="N218" s="14" t="s">
        <v>105</v>
      </c>
      <c r="O218" s="14"/>
    </row>
    <row r="219" customFormat="false" ht="41.75" hidden="false" customHeight="false" outlineLevel="0" collapsed="false">
      <c r="A219" s="14" t="n">
        <v>218</v>
      </c>
      <c r="B219" s="14" t="s">
        <v>1019</v>
      </c>
      <c r="C219" s="14" t="s">
        <v>1020</v>
      </c>
      <c r="D219" s="14" t="s">
        <v>34</v>
      </c>
      <c r="E219" s="14" t="s">
        <v>45</v>
      </c>
      <c r="F219" s="14"/>
      <c r="G219" s="14" t="s">
        <v>1021</v>
      </c>
      <c r="H219" s="14" t="s">
        <v>37</v>
      </c>
      <c r="I219" s="14" t="s">
        <v>38</v>
      </c>
      <c r="J219" s="14" t="s">
        <v>1022</v>
      </c>
      <c r="K219" s="14" t="s">
        <v>40</v>
      </c>
      <c r="L219" s="16" t="s">
        <v>6</v>
      </c>
      <c r="M219" s="14" t="s">
        <v>104</v>
      </c>
      <c r="N219" s="14" t="s">
        <v>105</v>
      </c>
      <c r="O219" s="14"/>
    </row>
    <row r="220" customFormat="false" ht="55.2" hidden="false" customHeight="false" outlineLevel="0" collapsed="false">
      <c r="A220" s="14" t="n">
        <v>219</v>
      </c>
      <c r="B220" s="14" t="s">
        <v>1023</v>
      </c>
      <c r="C220" s="14" t="s">
        <v>1024</v>
      </c>
      <c r="D220" s="14" t="s">
        <v>46</v>
      </c>
      <c r="E220" s="14" t="s">
        <v>45</v>
      </c>
      <c r="F220" s="14"/>
      <c r="G220" s="14" t="s">
        <v>1025</v>
      </c>
      <c r="H220" s="14" t="s">
        <v>175</v>
      </c>
      <c r="I220" s="14" t="s">
        <v>176</v>
      </c>
      <c r="J220" s="14" t="s">
        <v>1026</v>
      </c>
      <c r="K220" s="14" t="s">
        <v>40</v>
      </c>
      <c r="L220" s="16" t="s">
        <v>6</v>
      </c>
      <c r="M220" s="14" t="s">
        <v>104</v>
      </c>
      <c r="N220" s="14" t="s">
        <v>105</v>
      </c>
      <c r="O220" s="14"/>
    </row>
    <row r="221" customFormat="false" ht="41.75" hidden="false" customHeight="false" outlineLevel="0" collapsed="false">
      <c r="A221" s="14" t="n">
        <v>220</v>
      </c>
      <c r="B221" s="14" t="s">
        <v>1027</v>
      </c>
      <c r="C221" s="14" t="s">
        <v>1028</v>
      </c>
      <c r="D221" s="14" t="s">
        <v>45</v>
      </c>
      <c r="E221" s="14" t="s">
        <v>34</v>
      </c>
      <c r="F221" s="14"/>
      <c r="G221" s="14" t="s">
        <v>1029</v>
      </c>
      <c r="H221" s="14" t="s">
        <v>37</v>
      </c>
      <c r="I221" s="14" t="s">
        <v>38</v>
      </c>
      <c r="J221" s="14" t="s">
        <v>1030</v>
      </c>
      <c r="K221" s="14" t="s">
        <v>40</v>
      </c>
      <c r="L221" s="16" t="s">
        <v>6</v>
      </c>
      <c r="M221" s="14" t="s">
        <v>104</v>
      </c>
      <c r="N221" s="14" t="s">
        <v>105</v>
      </c>
      <c r="O221" s="14"/>
    </row>
    <row r="222" customFormat="false" ht="28.35" hidden="false" customHeight="false" outlineLevel="0" collapsed="false">
      <c r="A222" s="14" t="n">
        <v>221</v>
      </c>
      <c r="B222" s="14" t="s">
        <v>1031</v>
      </c>
      <c r="C222" s="14" t="s">
        <v>1032</v>
      </c>
      <c r="D222" s="14" t="s">
        <v>46</v>
      </c>
      <c r="E222" s="14" t="s">
        <v>45</v>
      </c>
      <c r="F222" s="14" t="s">
        <v>346</v>
      </c>
      <c r="G222" s="14" t="s">
        <v>1033</v>
      </c>
      <c r="H222" s="14" t="s">
        <v>37</v>
      </c>
      <c r="I222" s="14" t="s">
        <v>176</v>
      </c>
      <c r="J222" s="14" t="s">
        <v>1034</v>
      </c>
      <c r="K222" s="14" t="s">
        <v>40</v>
      </c>
      <c r="L222" s="17" t="s">
        <v>7</v>
      </c>
      <c r="M222" s="14" t="s">
        <v>1035</v>
      </c>
      <c r="N222" s="14" t="s">
        <v>1036</v>
      </c>
      <c r="O222" s="14"/>
    </row>
    <row r="223" customFormat="false" ht="28.35" hidden="false" customHeight="false" outlineLevel="0" collapsed="false">
      <c r="A223" s="14" t="n">
        <v>222</v>
      </c>
      <c r="B223" s="14" t="s">
        <v>1037</v>
      </c>
      <c r="C223" s="14" t="s">
        <v>1038</v>
      </c>
      <c r="D223" s="14" t="s">
        <v>346</v>
      </c>
      <c r="E223" s="14" t="s">
        <v>46</v>
      </c>
      <c r="F223" s="14"/>
      <c r="G223" s="14" t="s">
        <v>1039</v>
      </c>
      <c r="H223" s="14" t="s">
        <v>37</v>
      </c>
      <c r="I223" s="14" t="s">
        <v>176</v>
      </c>
      <c r="J223" s="14" t="s">
        <v>1040</v>
      </c>
      <c r="K223" s="14" t="s">
        <v>40</v>
      </c>
      <c r="L223" s="17" t="s">
        <v>7</v>
      </c>
      <c r="M223" s="14" t="s">
        <v>1041</v>
      </c>
      <c r="N223" s="14" t="s">
        <v>1036</v>
      </c>
      <c r="O223" s="14"/>
    </row>
    <row r="224" customFormat="false" ht="55.2" hidden="false" customHeight="false" outlineLevel="0" collapsed="false">
      <c r="A224" s="14" t="n">
        <v>223</v>
      </c>
      <c r="B224" s="14" t="s">
        <v>1042</v>
      </c>
      <c r="C224" s="14" t="s">
        <v>1043</v>
      </c>
      <c r="D224" s="14" t="s">
        <v>45</v>
      </c>
      <c r="E224" s="14" t="s">
        <v>34</v>
      </c>
      <c r="F224" s="14" t="s">
        <v>46</v>
      </c>
      <c r="G224" s="14" t="s">
        <v>1044</v>
      </c>
      <c r="H224" s="14" t="s">
        <v>63</v>
      </c>
      <c r="I224" s="14" t="s">
        <v>49</v>
      </c>
      <c r="J224" s="14" t="s">
        <v>1045</v>
      </c>
      <c r="K224" s="14" t="s">
        <v>40</v>
      </c>
      <c r="L224" s="16" t="s">
        <v>6</v>
      </c>
      <c r="M224" s="14" t="s">
        <v>104</v>
      </c>
      <c r="N224" s="14" t="s">
        <v>105</v>
      </c>
      <c r="O224" s="14"/>
    </row>
    <row r="225" customFormat="false" ht="41.75" hidden="false" customHeight="false" outlineLevel="0" collapsed="false">
      <c r="A225" s="14" t="n">
        <v>224</v>
      </c>
      <c r="B225" s="14" t="s">
        <v>1046</v>
      </c>
      <c r="C225" s="14" t="s">
        <v>1047</v>
      </c>
      <c r="D225" s="14" t="s">
        <v>34</v>
      </c>
      <c r="E225" s="14" t="s">
        <v>45</v>
      </c>
      <c r="F225" s="14"/>
      <c r="G225" s="14" t="s">
        <v>1048</v>
      </c>
      <c r="H225" s="14" t="s">
        <v>37</v>
      </c>
      <c r="I225" s="14" t="s">
        <v>38</v>
      </c>
      <c r="J225" s="14" t="s">
        <v>1049</v>
      </c>
      <c r="K225" s="14" t="s">
        <v>40</v>
      </c>
      <c r="L225" s="16" t="s">
        <v>6</v>
      </c>
      <c r="M225" s="14" t="s">
        <v>104</v>
      </c>
      <c r="N225" s="14" t="s">
        <v>105</v>
      </c>
      <c r="O225" s="14"/>
    </row>
    <row r="226" customFormat="false" ht="55.2" hidden="false" customHeight="false" outlineLevel="0" collapsed="false">
      <c r="A226" s="14" t="n">
        <v>225</v>
      </c>
      <c r="B226" s="14" t="s">
        <v>1050</v>
      </c>
      <c r="C226" s="14" t="s">
        <v>1051</v>
      </c>
      <c r="D226" s="14" t="s">
        <v>45</v>
      </c>
      <c r="E226" s="14" t="s">
        <v>431</v>
      </c>
      <c r="F226" s="14"/>
      <c r="G226" s="14" t="s">
        <v>1052</v>
      </c>
      <c r="H226" s="14" t="s">
        <v>37</v>
      </c>
      <c r="I226" s="14" t="s">
        <v>433</v>
      </c>
      <c r="J226" s="14" t="s">
        <v>1053</v>
      </c>
      <c r="K226" s="14" t="s">
        <v>40</v>
      </c>
      <c r="L226" s="16" t="s">
        <v>6</v>
      </c>
      <c r="M226" s="14" t="s">
        <v>104</v>
      </c>
      <c r="N226" s="14" t="s">
        <v>105</v>
      </c>
      <c r="O226" s="14"/>
    </row>
    <row r="227" customFormat="false" ht="55.2" hidden="false" customHeight="false" outlineLevel="0" collapsed="false">
      <c r="A227" s="14" t="n">
        <v>226</v>
      </c>
      <c r="B227" s="14" t="s">
        <v>1054</v>
      </c>
      <c r="C227" s="14" t="s">
        <v>1055</v>
      </c>
      <c r="D227" s="14" t="s">
        <v>46</v>
      </c>
      <c r="E227" s="14" t="s">
        <v>45</v>
      </c>
      <c r="F227" s="14" t="s">
        <v>346</v>
      </c>
      <c r="G227" s="14" t="s">
        <v>1056</v>
      </c>
      <c r="H227" s="14" t="s">
        <v>309</v>
      </c>
      <c r="I227" s="14" t="s">
        <v>176</v>
      </c>
      <c r="J227" s="14" t="s">
        <v>1057</v>
      </c>
      <c r="K227" s="14" t="s">
        <v>40</v>
      </c>
      <c r="L227" s="16" t="s">
        <v>6</v>
      </c>
      <c r="M227" s="14" t="s">
        <v>104</v>
      </c>
      <c r="N227" s="14" t="s">
        <v>105</v>
      </c>
      <c r="O227" s="14"/>
    </row>
    <row r="228" customFormat="false" ht="55.2" hidden="false" customHeight="false" outlineLevel="0" collapsed="false">
      <c r="A228" s="14" t="n">
        <v>227</v>
      </c>
      <c r="B228" s="14" t="s">
        <v>1058</v>
      </c>
      <c r="C228" s="14" t="s">
        <v>1059</v>
      </c>
      <c r="D228" s="14" t="s">
        <v>34</v>
      </c>
      <c r="E228" s="14" t="s">
        <v>61</v>
      </c>
      <c r="F228" s="14"/>
      <c r="G228" s="14" t="s">
        <v>1060</v>
      </c>
      <c r="H228" s="14" t="s">
        <v>63</v>
      </c>
      <c r="I228" s="14" t="s">
        <v>38</v>
      </c>
      <c r="J228" s="14" t="s">
        <v>1061</v>
      </c>
      <c r="K228" s="14" t="s">
        <v>40</v>
      </c>
      <c r="L228" s="16" t="s">
        <v>6</v>
      </c>
      <c r="M228" s="14" t="s">
        <v>104</v>
      </c>
      <c r="N228" s="14" t="s">
        <v>105</v>
      </c>
      <c r="O228" s="14"/>
    </row>
    <row r="229" customFormat="false" ht="41.75" hidden="false" customHeight="false" outlineLevel="0" collapsed="false">
      <c r="A229" s="14" t="n">
        <v>228</v>
      </c>
      <c r="B229" s="14" t="s">
        <v>1062</v>
      </c>
      <c r="C229" s="14" t="s">
        <v>1063</v>
      </c>
      <c r="D229" s="14" t="s">
        <v>219</v>
      </c>
      <c r="E229" s="14" t="s">
        <v>35</v>
      </c>
      <c r="F229" s="14"/>
      <c r="G229" s="14" t="s">
        <v>1064</v>
      </c>
      <c r="H229" s="14" t="s">
        <v>37</v>
      </c>
      <c r="I229" s="14" t="s">
        <v>38</v>
      </c>
      <c r="J229" s="14" t="s">
        <v>1065</v>
      </c>
      <c r="K229" s="14" t="s">
        <v>40</v>
      </c>
      <c r="L229" s="16" t="s">
        <v>6</v>
      </c>
      <c r="M229" s="14" t="s">
        <v>104</v>
      </c>
      <c r="N229" s="14" t="s">
        <v>105</v>
      </c>
      <c r="O229" s="14"/>
    </row>
    <row r="230" customFormat="false" ht="55.2" hidden="false" customHeight="false" outlineLevel="0" collapsed="false">
      <c r="A230" s="14" t="n">
        <v>229</v>
      </c>
      <c r="B230" s="14" t="s">
        <v>1066</v>
      </c>
      <c r="C230" s="14" t="s">
        <v>1067</v>
      </c>
      <c r="D230" s="14" t="s">
        <v>45</v>
      </c>
      <c r="E230" s="14" t="s">
        <v>34</v>
      </c>
      <c r="F230" s="14"/>
      <c r="G230" s="14" t="s">
        <v>1068</v>
      </c>
      <c r="H230" s="14" t="s">
        <v>37</v>
      </c>
      <c r="I230" s="14" t="s">
        <v>38</v>
      </c>
      <c r="J230" s="14" t="s">
        <v>1069</v>
      </c>
      <c r="K230" s="14" t="s">
        <v>40</v>
      </c>
      <c r="L230" s="16" t="s">
        <v>6</v>
      </c>
      <c r="M230" s="14" t="s">
        <v>104</v>
      </c>
      <c r="N230" s="14" t="s">
        <v>105</v>
      </c>
      <c r="O230" s="14"/>
    </row>
    <row r="231" customFormat="false" ht="55.2" hidden="false" customHeight="false" outlineLevel="0" collapsed="false">
      <c r="A231" s="14" t="n">
        <v>230</v>
      </c>
      <c r="B231" s="14" t="s">
        <v>1070</v>
      </c>
      <c r="C231" s="14" t="s">
        <v>1071</v>
      </c>
      <c r="D231" s="14" t="s">
        <v>34</v>
      </c>
      <c r="E231" s="14" t="s">
        <v>45</v>
      </c>
      <c r="F231" s="14" t="s">
        <v>219</v>
      </c>
      <c r="G231" s="14" t="s">
        <v>1072</v>
      </c>
      <c r="H231" s="14" t="s">
        <v>37</v>
      </c>
      <c r="I231" s="14" t="s">
        <v>38</v>
      </c>
      <c r="J231" s="14" t="s">
        <v>1073</v>
      </c>
      <c r="K231" s="14" t="s">
        <v>40</v>
      </c>
      <c r="L231" s="16" t="s">
        <v>6</v>
      </c>
      <c r="M231" s="14" t="s">
        <v>104</v>
      </c>
      <c r="N231" s="14" t="s">
        <v>105</v>
      </c>
      <c r="O231" s="14"/>
    </row>
    <row r="232" customFormat="false" ht="55.2" hidden="false" customHeight="false" outlineLevel="0" collapsed="false">
      <c r="A232" s="14" t="n">
        <v>231</v>
      </c>
      <c r="B232" s="14" t="s">
        <v>1074</v>
      </c>
      <c r="C232" s="14" t="s">
        <v>1075</v>
      </c>
      <c r="D232" s="14" t="s">
        <v>45</v>
      </c>
      <c r="E232" s="14" t="s">
        <v>431</v>
      </c>
      <c r="F232" s="14" t="s">
        <v>460</v>
      </c>
      <c r="G232" s="14" t="s">
        <v>1076</v>
      </c>
      <c r="H232" s="14" t="s">
        <v>37</v>
      </c>
      <c r="I232" s="14" t="s">
        <v>433</v>
      </c>
      <c r="J232" s="14" t="s">
        <v>1077</v>
      </c>
      <c r="K232" s="14" t="s">
        <v>40</v>
      </c>
      <c r="L232" s="16" t="s">
        <v>6</v>
      </c>
      <c r="M232" s="14" t="s">
        <v>104</v>
      </c>
      <c r="N232" s="14" t="s">
        <v>105</v>
      </c>
      <c r="O232" s="14"/>
    </row>
    <row r="233" customFormat="false" ht="55.2" hidden="false" customHeight="false" outlineLevel="0" collapsed="false">
      <c r="A233" s="14" t="n">
        <v>232</v>
      </c>
      <c r="B233" s="14" t="s">
        <v>1078</v>
      </c>
      <c r="C233" s="14" t="s">
        <v>1079</v>
      </c>
      <c r="D233" s="14" t="s">
        <v>46</v>
      </c>
      <c r="E233" s="14" t="s">
        <v>45</v>
      </c>
      <c r="F233" s="14"/>
      <c r="G233" s="14" t="s">
        <v>1080</v>
      </c>
      <c r="H233" s="14" t="s">
        <v>175</v>
      </c>
      <c r="I233" s="14" t="s">
        <v>176</v>
      </c>
      <c r="J233" s="14" t="s">
        <v>1081</v>
      </c>
      <c r="K233" s="14" t="s">
        <v>40</v>
      </c>
      <c r="L233" s="16" t="s">
        <v>6</v>
      </c>
      <c r="M233" s="14" t="s">
        <v>104</v>
      </c>
      <c r="N233" s="14" t="s">
        <v>105</v>
      </c>
      <c r="O233" s="14"/>
    </row>
    <row r="234" customFormat="false" ht="55.2" hidden="false" customHeight="false" outlineLevel="0" collapsed="false">
      <c r="A234" s="14" t="n">
        <v>233</v>
      </c>
      <c r="B234" s="14" t="s">
        <v>1082</v>
      </c>
      <c r="C234" s="14" t="s">
        <v>1083</v>
      </c>
      <c r="D234" s="14" t="s">
        <v>34</v>
      </c>
      <c r="E234" s="14" t="s">
        <v>35</v>
      </c>
      <c r="F234" s="14"/>
      <c r="G234" s="14" t="s">
        <v>1084</v>
      </c>
      <c r="H234" s="14" t="s">
        <v>37</v>
      </c>
      <c r="I234" s="14" t="s">
        <v>38</v>
      </c>
      <c r="J234" s="14" t="s">
        <v>1085</v>
      </c>
      <c r="K234" s="14" t="s">
        <v>40</v>
      </c>
      <c r="L234" s="16" t="s">
        <v>6</v>
      </c>
      <c r="M234" s="14" t="s">
        <v>104</v>
      </c>
      <c r="N234" s="14" t="s">
        <v>105</v>
      </c>
      <c r="O234" s="14"/>
    </row>
    <row r="235" customFormat="false" ht="55.2" hidden="false" customHeight="false" outlineLevel="0" collapsed="false">
      <c r="A235" s="14" t="n">
        <v>234</v>
      </c>
      <c r="B235" s="14" t="s">
        <v>1086</v>
      </c>
      <c r="C235" s="14" t="s">
        <v>1087</v>
      </c>
      <c r="D235" s="14" t="s">
        <v>45</v>
      </c>
      <c r="E235" s="14" t="s">
        <v>34</v>
      </c>
      <c r="F235" s="14"/>
      <c r="G235" s="14" t="s">
        <v>1088</v>
      </c>
      <c r="H235" s="14" t="s">
        <v>37</v>
      </c>
      <c r="I235" s="14" t="s">
        <v>38</v>
      </c>
      <c r="J235" s="14" t="s">
        <v>1089</v>
      </c>
      <c r="K235" s="14" t="s">
        <v>40</v>
      </c>
      <c r="L235" s="16" t="s">
        <v>6</v>
      </c>
      <c r="M235" s="14" t="s">
        <v>104</v>
      </c>
      <c r="N235" s="14" t="s">
        <v>105</v>
      </c>
      <c r="O235" s="14"/>
    </row>
    <row r="236" customFormat="false" ht="41.75" hidden="false" customHeight="false" outlineLevel="0" collapsed="false">
      <c r="A236" s="14" t="n">
        <v>235</v>
      </c>
      <c r="B236" s="14" t="s">
        <v>1090</v>
      </c>
      <c r="C236" s="14" t="s">
        <v>1091</v>
      </c>
      <c r="D236" s="14" t="s">
        <v>346</v>
      </c>
      <c r="E236" s="14" t="s">
        <v>45</v>
      </c>
      <c r="F236" s="14" t="s">
        <v>46</v>
      </c>
      <c r="G236" s="14" t="s">
        <v>1092</v>
      </c>
      <c r="H236" s="14" t="s">
        <v>175</v>
      </c>
      <c r="I236" s="14" t="s">
        <v>176</v>
      </c>
      <c r="J236" s="14" t="s">
        <v>1093</v>
      </c>
      <c r="K236" s="14" t="s">
        <v>40</v>
      </c>
      <c r="L236" s="16" t="s">
        <v>6</v>
      </c>
      <c r="M236" s="14" t="s">
        <v>104</v>
      </c>
      <c r="N236" s="14" t="s">
        <v>105</v>
      </c>
      <c r="O236" s="14"/>
    </row>
    <row r="237" customFormat="false" ht="55.2" hidden="false" customHeight="false" outlineLevel="0" collapsed="false">
      <c r="A237" s="14" t="n">
        <v>236</v>
      </c>
      <c r="B237" s="14" t="s">
        <v>1094</v>
      </c>
      <c r="C237" s="14" t="s">
        <v>1095</v>
      </c>
      <c r="D237" s="14" t="s">
        <v>34</v>
      </c>
      <c r="E237" s="14" t="s">
        <v>61</v>
      </c>
      <c r="F237" s="14"/>
      <c r="G237" s="14" t="s">
        <v>1096</v>
      </c>
      <c r="H237" s="14" t="s">
        <v>63</v>
      </c>
      <c r="I237" s="14" t="s">
        <v>38</v>
      </c>
      <c r="J237" s="14" t="s">
        <v>1097</v>
      </c>
      <c r="K237" s="14" t="s">
        <v>40</v>
      </c>
      <c r="L237" s="16" t="s">
        <v>6</v>
      </c>
      <c r="M237" s="14" t="s">
        <v>104</v>
      </c>
      <c r="N237" s="14" t="s">
        <v>105</v>
      </c>
      <c r="O237" s="14"/>
    </row>
    <row r="238" customFormat="false" ht="55.2" hidden="false" customHeight="false" outlineLevel="0" collapsed="false">
      <c r="A238" s="14" t="n">
        <v>237</v>
      </c>
      <c r="B238" s="14" t="s">
        <v>1098</v>
      </c>
      <c r="C238" s="14" t="s">
        <v>1099</v>
      </c>
      <c r="D238" s="14" t="s">
        <v>45</v>
      </c>
      <c r="E238" s="14" t="s">
        <v>34</v>
      </c>
      <c r="F238" s="14" t="s">
        <v>219</v>
      </c>
      <c r="G238" s="14" t="s">
        <v>1100</v>
      </c>
      <c r="H238" s="14" t="s">
        <v>48</v>
      </c>
      <c r="I238" s="14" t="s">
        <v>38</v>
      </c>
      <c r="J238" s="14" t="s">
        <v>1101</v>
      </c>
      <c r="K238" s="14" t="s">
        <v>40</v>
      </c>
      <c r="L238" s="16" t="s">
        <v>6</v>
      </c>
      <c r="M238" s="14" t="s">
        <v>104</v>
      </c>
      <c r="N238" s="14" t="s">
        <v>105</v>
      </c>
      <c r="O238" s="14"/>
    </row>
    <row r="239" customFormat="false" ht="55.2" hidden="false" customHeight="false" outlineLevel="0" collapsed="false">
      <c r="A239" s="14" t="n">
        <v>238</v>
      </c>
      <c r="B239" s="14" t="s">
        <v>1102</v>
      </c>
      <c r="C239" s="14" t="s">
        <v>1103</v>
      </c>
      <c r="D239" s="14" t="s">
        <v>46</v>
      </c>
      <c r="E239" s="14" t="s">
        <v>45</v>
      </c>
      <c r="F239" s="14"/>
      <c r="G239" s="14" t="s">
        <v>1104</v>
      </c>
      <c r="H239" s="14" t="s">
        <v>175</v>
      </c>
      <c r="I239" s="14" t="s">
        <v>176</v>
      </c>
      <c r="J239" s="14" t="s">
        <v>1105</v>
      </c>
      <c r="K239" s="14" t="s">
        <v>40</v>
      </c>
      <c r="L239" s="16" t="s">
        <v>6</v>
      </c>
      <c r="M239" s="14" t="s">
        <v>104</v>
      </c>
      <c r="N239" s="14" t="s">
        <v>105</v>
      </c>
      <c r="O239" s="14"/>
    </row>
    <row r="240" customFormat="false" ht="55.2" hidden="false" customHeight="false" outlineLevel="0" collapsed="false">
      <c r="A240" s="14" t="n">
        <v>239</v>
      </c>
      <c r="B240" s="14" t="s">
        <v>1106</v>
      </c>
      <c r="C240" s="14" t="s">
        <v>1107</v>
      </c>
      <c r="D240" s="14" t="s">
        <v>219</v>
      </c>
      <c r="E240" s="14" t="s">
        <v>297</v>
      </c>
      <c r="F240" s="14"/>
      <c r="G240" s="14" t="s">
        <v>1108</v>
      </c>
      <c r="H240" s="14" t="s">
        <v>37</v>
      </c>
      <c r="I240" s="14" t="s">
        <v>38</v>
      </c>
      <c r="J240" s="14" t="s">
        <v>1109</v>
      </c>
      <c r="K240" s="14" t="s">
        <v>40</v>
      </c>
      <c r="L240" s="16" t="s">
        <v>6</v>
      </c>
      <c r="M240" s="14" t="s">
        <v>104</v>
      </c>
      <c r="N240" s="14" t="s">
        <v>105</v>
      </c>
      <c r="O240" s="14"/>
    </row>
    <row r="241" customFormat="false" ht="55.2" hidden="false" customHeight="false" outlineLevel="0" collapsed="false">
      <c r="A241" s="14" t="n">
        <v>240</v>
      </c>
      <c r="B241" s="14" t="s">
        <v>1110</v>
      </c>
      <c r="C241" s="14" t="s">
        <v>1111</v>
      </c>
      <c r="D241" s="14" t="s">
        <v>45</v>
      </c>
      <c r="E241" s="14" t="s">
        <v>431</v>
      </c>
      <c r="F241" s="14"/>
      <c r="G241" s="14" t="s">
        <v>1112</v>
      </c>
      <c r="H241" s="14" t="s">
        <v>37</v>
      </c>
      <c r="I241" s="14" t="s">
        <v>433</v>
      </c>
      <c r="J241" s="14" t="s">
        <v>1113</v>
      </c>
      <c r="K241" s="14" t="s">
        <v>40</v>
      </c>
      <c r="L241" s="16" t="s">
        <v>6</v>
      </c>
      <c r="M241" s="14" t="s">
        <v>104</v>
      </c>
      <c r="N241" s="14" t="s">
        <v>105</v>
      </c>
      <c r="O241" s="14"/>
    </row>
    <row r="242" customFormat="false" ht="55.2" hidden="false" customHeight="false" outlineLevel="0" collapsed="false">
      <c r="A242" s="14" t="n">
        <v>241</v>
      </c>
      <c r="B242" s="14" t="s">
        <v>1114</v>
      </c>
      <c r="C242" s="14" t="s">
        <v>1115</v>
      </c>
      <c r="D242" s="14" t="s">
        <v>34</v>
      </c>
      <c r="E242" s="14" t="s">
        <v>61</v>
      </c>
      <c r="F242" s="14"/>
      <c r="G242" s="14" t="s">
        <v>1116</v>
      </c>
      <c r="H242" s="14" t="s">
        <v>63</v>
      </c>
      <c r="I242" s="14" t="s">
        <v>38</v>
      </c>
      <c r="J242" s="14" t="s">
        <v>1117</v>
      </c>
      <c r="K242" s="14" t="s">
        <v>40</v>
      </c>
      <c r="L242" s="16" t="s">
        <v>6</v>
      </c>
      <c r="M242" s="14" t="s">
        <v>104</v>
      </c>
      <c r="N242" s="14" t="s">
        <v>105</v>
      </c>
      <c r="O242" s="14"/>
    </row>
    <row r="243" customFormat="false" ht="55.2" hidden="false" customHeight="false" outlineLevel="0" collapsed="false">
      <c r="A243" s="14" t="n">
        <v>242</v>
      </c>
      <c r="B243" s="14" t="s">
        <v>1118</v>
      </c>
      <c r="C243" s="14" t="s">
        <v>1119</v>
      </c>
      <c r="D243" s="14" t="s">
        <v>45</v>
      </c>
      <c r="E243" s="14" t="s">
        <v>34</v>
      </c>
      <c r="F243" s="14" t="s">
        <v>46</v>
      </c>
      <c r="G243" s="14" t="s">
        <v>1120</v>
      </c>
      <c r="H243" s="14" t="s">
        <v>63</v>
      </c>
      <c r="I243" s="14" t="s">
        <v>38</v>
      </c>
      <c r="J243" s="14" t="s">
        <v>1121</v>
      </c>
      <c r="K243" s="14" t="s">
        <v>40</v>
      </c>
      <c r="L243" s="16" t="s">
        <v>6</v>
      </c>
      <c r="M243" s="14" t="s">
        <v>104</v>
      </c>
      <c r="N243" s="14" t="s">
        <v>105</v>
      </c>
      <c r="O243" s="14"/>
    </row>
    <row r="244" customFormat="false" ht="55.2" hidden="false" customHeight="false" outlineLevel="0" collapsed="false">
      <c r="A244" s="14" t="n">
        <v>243</v>
      </c>
      <c r="B244" s="14" t="s">
        <v>1122</v>
      </c>
      <c r="C244" s="14" t="s">
        <v>1123</v>
      </c>
      <c r="D244" s="14" t="s">
        <v>34</v>
      </c>
      <c r="E244" s="14" t="s">
        <v>45</v>
      </c>
      <c r="F244" s="14"/>
      <c r="G244" s="14" t="s">
        <v>1124</v>
      </c>
      <c r="H244" s="14" t="s">
        <v>37</v>
      </c>
      <c r="I244" s="14" t="s">
        <v>38</v>
      </c>
      <c r="J244" s="14" t="s">
        <v>1125</v>
      </c>
      <c r="K244" s="14" t="s">
        <v>40</v>
      </c>
      <c r="L244" s="16" t="s">
        <v>6</v>
      </c>
      <c r="M244" s="14" t="s">
        <v>104</v>
      </c>
      <c r="N244" s="14" t="s">
        <v>105</v>
      </c>
      <c r="O244" s="14"/>
    </row>
    <row r="245" customFormat="false" ht="55.2" hidden="false" customHeight="false" outlineLevel="0" collapsed="false">
      <c r="A245" s="14" t="n">
        <v>244</v>
      </c>
      <c r="B245" s="14" t="s">
        <v>1126</v>
      </c>
      <c r="C245" s="14" t="s">
        <v>1127</v>
      </c>
      <c r="D245" s="14" t="s">
        <v>46</v>
      </c>
      <c r="E245" s="14" t="s">
        <v>45</v>
      </c>
      <c r="F245" s="14" t="s">
        <v>346</v>
      </c>
      <c r="G245" s="14" t="s">
        <v>1128</v>
      </c>
      <c r="H245" s="14" t="s">
        <v>175</v>
      </c>
      <c r="I245" s="14" t="s">
        <v>176</v>
      </c>
      <c r="J245" s="14" t="s">
        <v>1129</v>
      </c>
      <c r="K245" s="14" t="s">
        <v>40</v>
      </c>
      <c r="L245" s="16" t="s">
        <v>6</v>
      </c>
      <c r="M245" s="14" t="s">
        <v>104</v>
      </c>
      <c r="N245" s="14" t="s">
        <v>105</v>
      </c>
      <c r="O245" s="14"/>
    </row>
    <row r="246" customFormat="false" ht="41.75" hidden="false" customHeight="false" outlineLevel="0" collapsed="false">
      <c r="A246" s="14" t="n">
        <v>245</v>
      </c>
      <c r="B246" s="14" t="s">
        <v>1130</v>
      </c>
      <c r="C246" s="14" t="s">
        <v>1131</v>
      </c>
      <c r="D246" s="14" t="s">
        <v>219</v>
      </c>
      <c r="E246" s="14" t="s">
        <v>45</v>
      </c>
      <c r="F246" s="14"/>
      <c r="G246" s="14" t="s">
        <v>1132</v>
      </c>
      <c r="H246" s="14" t="s">
        <v>37</v>
      </c>
      <c r="I246" s="14" t="s">
        <v>38</v>
      </c>
      <c r="J246" s="14" t="s">
        <v>1133</v>
      </c>
      <c r="K246" s="14" t="s">
        <v>57</v>
      </c>
      <c r="L246" s="17" t="s">
        <v>7</v>
      </c>
      <c r="M246" s="14" t="s">
        <v>1134</v>
      </c>
      <c r="N246" s="14" t="s">
        <v>710</v>
      </c>
      <c r="O246" s="14"/>
    </row>
    <row r="247" customFormat="false" ht="55.2" hidden="false" customHeight="false" outlineLevel="0" collapsed="false">
      <c r="A247" s="14" t="n">
        <v>246</v>
      </c>
      <c r="B247" s="14" t="s">
        <v>1135</v>
      </c>
      <c r="C247" s="14" t="s">
        <v>1136</v>
      </c>
      <c r="D247" s="14" t="s">
        <v>45</v>
      </c>
      <c r="E247" s="14" t="s">
        <v>34</v>
      </c>
      <c r="F247" s="14"/>
      <c r="G247" s="14" t="s">
        <v>1137</v>
      </c>
      <c r="H247" s="14" t="s">
        <v>48</v>
      </c>
      <c r="I247" s="14" t="s">
        <v>38</v>
      </c>
      <c r="J247" s="14" t="s">
        <v>1138</v>
      </c>
      <c r="K247" s="14" t="s">
        <v>40</v>
      </c>
      <c r="L247" s="18" t="s">
        <v>8</v>
      </c>
      <c r="M247" s="14" t="s">
        <v>1139</v>
      </c>
      <c r="N247" s="14" t="s">
        <v>1140</v>
      </c>
      <c r="O247" s="14"/>
    </row>
    <row r="248" customFormat="false" ht="55.2" hidden="false" customHeight="false" outlineLevel="0" collapsed="false">
      <c r="A248" s="14" t="n">
        <v>247</v>
      </c>
      <c r="B248" s="14" t="s">
        <v>1141</v>
      </c>
      <c r="C248" s="14" t="s">
        <v>1142</v>
      </c>
      <c r="D248" s="14" t="s">
        <v>45</v>
      </c>
      <c r="E248" s="14" t="s">
        <v>431</v>
      </c>
      <c r="F248" s="14"/>
      <c r="G248" s="14" t="s">
        <v>1143</v>
      </c>
      <c r="H248" s="14" t="s">
        <v>37</v>
      </c>
      <c r="I248" s="14" t="s">
        <v>433</v>
      </c>
      <c r="J248" s="14" t="s">
        <v>1144</v>
      </c>
      <c r="K248" s="14" t="s">
        <v>40</v>
      </c>
      <c r="L248" s="16" t="s">
        <v>6</v>
      </c>
      <c r="M248" s="14" t="s">
        <v>104</v>
      </c>
      <c r="N248" s="14" t="s">
        <v>105</v>
      </c>
      <c r="O248" s="14"/>
    </row>
    <row r="249" customFormat="false" ht="55.2" hidden="false" customHeight="false" outlineLevel="0" collapsed="false">
      <c r="A249" s="14" t="n">
        <v>248</v>
      </c>
      <c r="B249" s="14" t="s">
        <v>1145</v>
      </c>
      <c r="C249" s="14" t="s">
        <v>1146</v>
      </c>
      <c r="D249" s="14" t="s">
        <v>219</v>
      </c>
      <c r="E249" s="14" t="s">
        <v>67</v>
      </c>
      <c r="F249" s="14"/>
      <c r="G249" s="14" t="s">
        <v>1147</v>
      </c>
      <c r="H249" s="14" t="s">
        <v>37</v>
      </c>
      <c r="I249" s="14" t="s">
        <v>38</v>
      </c>
      <c r="J249" s="14" t="s">
        <v>1148</v>
      </c>
      <c r="K249" s="14" t="s">
        <v>40</v>
      </c>
      <c r="L249" s="16" t="s">
        <v>6</v>
      </c>
      <c r="M249" s="14" t="s">
        <v>104</v>
      </c>
      <c r="N249" s="14" t="s">
        <v>105</v>
      </c>
      <c r="O249" s="14"/>
    </row>
    <row r="250" customFormat="false" ht="55.2" hidden="false" customHeight="false" outlineLevel="0" collapsed="false">
      <c r="A250" s="14" t="n">
        <v>249</v>
      </c>
      <c r="B250" s="14" t="s">
        <v>1149</v>
      </c>
      <c r="C250" s="14" t="s">
        <v>1150</v>
      </c>
      <c r="D250" s="14" t="s">
        <v>346</v>
      </c>
      <c r="E250" s="14" t="s">
        <v>45</v>
      </c>
      <c r="F250" s="14"/>
      <c r="G250" s="14" t="s">
        <v>1151</v>
      </c>
      <c r="H250" s="14" t="s">
        <v>175</v>
      </c>
      <c r="I250" s="14" t="s">
        <v>176</v>
      </c>
      <c r="J250" s="14" t="s">
        <v>1152</v>
      </c>
      <c r="K250" s="14" t="s">
        <v>40</v>
      </c>
      <c r="L250" s="16" t="s">
        <v>6</v>
      </c>
      <c r="M250" s="14" t="s">
        <v>104</v>
      </c>
      <c r="N250" s="14" t="s">
        <v>105</v>
      </c>
      <c r="O250" s="14"/>
    </row>
    <row r="251" customFormat="false" ht="55.2" hidden="false" customHeight="false" outlineLevel="0" collapsed="false">
      <c r="A251" s="14" t="n">
        <v>250</v>
      </c>
      <c r="B251" s="14" t="s">
        <v>1153</v>
      </c>
      <c r="C251" s="14" t="s">
        <v>1154</v>
      </c>
      <c r="D251" s="14" t="s">
        <v>45</v>
      </c>
      <c r="E251" s="14" t="s">
        <v>34</v>
      </c>
      <c r="F251" s="14"/>
      <c r="G251" s="14" t="s">
        <v>1155</v>
      </c>
      <c r="H251" s="14" t="s">
        <v>37</v>
      </c>
      <c r="I251" s="14" t="s">
        <v>38</v>
      </c>
      <c r="J251" s="14" t="s">
        <v>1156</v>
      </c>
      <c r="K251" s="14" t="s">
        <v>40</v>
      </c>
      <c r="L251" s="16" t="s">
        <v>6</v>
      </c>
      <c r="M251" s="14" t="s">
        <v>104</v>
      </c>
      <c r="N251" s="14" t="s">
        <v>105</v>
      </c>
      <c r="O251" s="14"/>
    </row>
    <row r="252" customFormat="false" ht="55.2" hidden="false" customHeight="false" outlineLevel="0" collapsed="false">
      <c r="A252" s="14" t="n">
        <v>251</v>
      </c>
      <c r="B252" s="14" t="s">
        <v>1157</v>
      </c>
      <c r="C252" s="14" t="s">
        <v>1158</v>
      </c>
      <c r="D252" s="14" t="s">
        <v>46</v>
      </c>
      <c r="E252" s="14" t="s">
        <v>45</v>
      </c>
      <c r="F252" s="14"/>
      <c r="G252" s="14" t="s">
        <v>1159</v>
      </c>
      <c r="H252" s="14" t="s">
        <v>309</v>
      </c>
      <c r="I252" s="14" t="s">
        <v>176</v>
      </c>
      <c r="J252" s="14" t="s">
        <v>1160</v>
      </c>
      <c r="K252" s="14" t="s">
        <v>40</v>
      </c>
      <c r="L252" s="16" t="s">
        <v>6</v>
      </c>
      <c r="M252" s="14" t="s">
        <v>104</v>
      </c>
      <c r="N252" s="14" t="s">
        <v>105</v>
      </c>
      <c r="O252" s="14"/>
    </row>
    <row r="253" customFormat="false" ht="55.2" hidden="false" customHeight="false" outlineLevel="0" collapsed="false">
      <c r="A253" s="14" t="n">
        <v>252</v>
      </c>
      <c r="B253" s="14" t="s">
        <v>1161</v>
      </c>
      <c r="C253" s="14" t="s">
        <v>1162</v>
      </c>
      <c r="D253" s="14" t="s">
        <v>34</v>
      </c>
      <c r="E253" s="14" t="s">
        <v>45</v>
      </c>
      <c r="F253" s="14" t="s">
        <v>219</v>
      </c>
      <c r="G253" s="14" t="s">
        <v>1163</v>
      </c>
      <c r="H253" s="14" t="s">
        <v>37</v>
      </c>
      <c r="I253" s="14" t="s">
        <v>38</v>
      </c>
      <c r="J253" s="14" t="s">
        <v>1164</v>
      </c>
      <c r="K253" s="14" t="s">
        <v>40</v>
      </c>
      <c r="L253" s="16" t="s">
        <v>6</v>
      </c>
      <c r="M253" s="14" t="s">
        <v>104</v>
      </c>
      <c r="N253" s="14" t="s">
        <v>105</v>
      </c>
      <c r="O253" s="14"/>
    </row>
    <row r="254" customFormat="false" ht="55.2" hidden="false" customHeight="false" outlineLevel="0" collapsed="false">
      <c r="A254" s="14" t="n">
        <v>253</v>
      </c>
      <c r="B254" s="14" t="s">
        <v>1165</v>
      </c>
      <c r="C254" s="14" t="s">
        <v>1166</v>
      </c>
      <c r="D254" s="14" t="s">
        <v>45</v>
      </c>
      <c r="E254" s="14" t="s">
        <v>34</v>
      </c>
      <c r="F254" s="14"/>
      <c r="G254" s="14" t="s">
        <v>1167</v>
      </c>
      <c r="H254" s="14" t="s">
        <v>37</v>
      </c>
      <c r="I254" s="14" t="s">
        <v>38</v>
      </c>
      <c r="J254" s="14" t="s">
        <v>1168</v>
      </c>
      <c r="K254" s="14" t="s">
        <v>40</v>
      </c>
      <c r="L254" s="16" t="s">
        <v>6</v>
      </c>
      <c r="M254" s="14" t="s">
        <v>104</v>
      </c>
      <c r="N254" s="14" t="s">
        <v>105</v>
      </c>
      <c r="O254" s="14"/>
    </row>
    <row r="255" customFormat="false" ht="55.2" hidden="false" customHeight="false" outlineLevel="0" collapsed="false">
      <c r="A255" s="14" t="n">
        <v>254</v>
      </c>
      <c r="B255" s="14" t="s">
        <v>1169</v>
      </c>
      <c r="C255" s="14" t="s">
        <v>1170</v>
      </c>
      <c r="D255" s="14" t="s">
        <v>34</v>
      </c>
      <c r="E255" s="14" t="s">
        <v>61</v>
      </c>
      <c r="F255" s="14"/>
      <c r="G255" s="14" t="s">
        <v>1171</v>
      </c>
      <c r="H255" s="14" t="s">
        <v>63</v>
      </c>
      <c r="I255" s="14" t="s">
        <v>38</v>
      </c>
      <c r="J255" s="14" t="s">
        <v>1172</v>
      </c>
      <c r="K255" s="14" t="s">
        <v>40</v>
      </c>
      <c r="L255" s="16" t="s">
        <v>6</v>
      </c>
      <c r="M255" s="14" t="s">
        <v>104</v>
      </c>
      <c r="N255" s="14" t="s">
        <v>105</v>
      </c>
      <c r="O255" s="14"/>
    </row>
    <row r="256" customFormat="false" ht="55.2" hidden="false" customHeight="false" outlineLevel="0" collapsed="false">
      <c r="A256" s="14" t="n">
        <v>255</v>
      </c>
      <c r="B256" s="14" t="s">
        <v>1173</v>
      </c>
      <c r="C256" s="14" t="s">
        <v>1174</v>
      </c>
      <c r="D256" s="14" t="s">
        <v>45</v>
      </c>
      <c r="E256" s="14" t="s">
        <v>431</v>
      </c>
      <c r="F256" s="14" t="s">
        <v>460</v>
      </c>
      <c r="G256" s="14" t="s">
        <v>1175</v>
      </c>
      <c r="H256" s="14" t="s">
        <v>37</v>
      </c>
      <c r="I256" s="14" t="s">
        <v>433</v>
      </c>
      <c r="J256" s="14" t="s">
        <v>1176</v>
      </c>
      <c r="K256" s="14" t="s">
        <v>40</v>
      </c>
      <c r="L256" s="16" t="s">
        <v>6</v>
      </c>
      <c r="M256" s="14" t="s">
        <v>104</v>
      </c>
      <c r="N256" s="14" t="s">
        <v>105</v>
      </c>
      <c r="O256" s="14"/>
    </row>
    <row r="257" customFormat="false" ht="55.2" hidden="false" customHeight="false" outlineLevel="0" collapsed="false">
      <c r="A257" s="14" t="n">
        <v>256</v>
      </c>
      <c r="B257" s="14" t="s">
        <v>1177</v>
      </c>
      <c r="C257" s="14" t="s">
        <v>1178</v>
      </c>
      <c r="D257" s="14" t="s">
        <v>46</v>
      </c>
      <c r="E257" s="14" t="s">
        <v>45</v>
      </c>
      <c r="F257" s="14"/>
      <c r="G257" s="14" t="s">
        <v>1179</v>
      </c>
      <c r="H257" s="14" t="s">
        <v>175</v>
      </c>
      <c r="I257" s="14" t="s">
        <v>176</v>
      </c>
      <c r="J257" s="14" t="s">
        <v>1180</v>
      </c>
      <c r="K257" s="14" t="s">
        <v>40</v>
      </c>
      <c r="L257" s="16" t="s">
        <v>6</v>
      </c>
      <c r="M257" s="14" t="s">
        <v>104</v>
      </c>
      <c r="N257" s="14" t="s">
        <v>105</v>
      </c>
      <c r="O257" s="14"/>
    </row>
    <row r="258" customFormat="false" ht="55.2" hidden="false" customHeight="false" outlineLevel="0" collapsed="false">
      <c r="A258" s="14" t="n">
        <v>257</v>
      </c>
      <c r="B258" s="14" t="s">
        <v>1181</v>
      </c>
      <c r="C258" s="14" t="s">
        <v>1182</v>
      </c>
      <c r="D258" s="14" t="s">
        <v>219</v>
      </c>
      <c r="E258" s="14" t="s">
        <v>35</v>
      </c>
      <c r="F258" s="14"/>
      <c r="G258" s="14" t="s">
        <v>1183</v>
      </c>
      <c r="H258" s="14" t="s">
        <v>37</v>
      </c>
      <c r="I258" s="14" t="s">
        <v>38</v>
      </c>
      <c r="J258" s="14" t="s">
        <v>1184</v>
      </c>
      <c r="K258" s="14" t="s">
        <v>40</v>
      </c>
      <c r="L258" s="16" t="s">
        <v>6</v>
      </c>
      <c r="M258" s="14" t="s">
        <v>104</v>
      </c>
      <c r="N258" s="14" t="s">
        <v>105</v>
      </c>
      <c r="O258" s="14"/>
    </row>
    <row r="259" customFormat="false" ht="55.2" hidden="false" customHeight="false" outlineLevel="0" collapsed="false">
      <c r="A259" s="14" t="n">
        <v>258</v>
      </c>
      <c r="B259" s="14" t="s">
        <v>1185</v>
      </c>
      <c r="C259" s="14" t="s">
        <v>1186</v>
      </c>
      <c r="D259" s="14" t="s">
        <v>45</v>
      </c>
      <c r="E259" s="14" t="s">
        <v>34</v>
      </c>
      <c r="F259" s="14"/>
      <c r="G259" s="14" t="s">
        <v>1187</v>
      </c>
      <c r="H259" s="14" t="s">
        <v>63</v>
      </c>
      <c r="I259" s="14" t="s">
        <v>49</v>
      </c>
      <c r="J259" s="14" t="s">
        <v>1188</v>
      </c>
      <c r="K259" s="14" t="s">
        <v>40</v>
      </c>
      <c r="L259" s="16" t="s">
        <v>6</v>
      </c>
      <c r="M259" s="14" t="s">
        <v>104</v>
      </c>
      <c r="N259" s="14" t="s">
        <v>105</v>
      </c>
      <c r="O259" s="14"/>
    </row>
    <row r="260" customFormat="false" ht="55.2" hidden="false" customHeight="false" outlineLevel="0" collapsed="false">
      <c r="A260" s="14" t="n">
        <v>259</v>
      </c>
      <c r="B260" s="14" t="s">
        <v>1189</v>
      </c>
      <c r="C260" s="14" t="s">
        <v>1190</v>
      </c>
      <c r="D260" s="14" t="s">
        <v>34</v>
      </c>
      <c r="E260" s="14" t="s">
        <v>45</v>
      </c>
      <c r="F260" s="14"/>
      <c r="G260" s="14" t="s">
        <v>1191</v>
      </c>
      <c r="H260" s="14" t="s">
        <v>37</v>
      </c>
      <c r="I260" s="14" t="s">
        <v>38</v>
      </c>
      <c r="J260" s="14" t="s">
        <v>1192</v>
      </c>
      <c r="K260" s="14" t="s">
        <v>40</v>
      </c>
      <c r="L260" s="16" t="s">
        <v>6</v>
      </c>
      <c r="M260" s="14" t="s">
        <v>104</v>
      </c>
      <c r="N260" s="14" t="s">
        <v>105</v>
      </c>
      <c r="O260" s="14"/>
    </row>
    <row r="261" customFormat="false" ht="55.2" hidden="false" customHeight="false" outlineLevel="0" collapsed="false">
      <c r="A261" s="14" t="n">
        <v>260</v>
      </c>
      <c r="B261" s="14" t="s">
        <v>1193</v>
      </c>
      <c r="C261" s="14" t="s">
        <v>1194</v>
      </c>
      <c r="D261" s="14" t="s">
        <v>346</v>
      </c>
      <c r="E261" s="14" t="s">
        <v>45</v>
      </c>
      <c r="F261" s="14" t="s">
        <v>46</v>
      </c>
      <c r="G261" s="14" t="s">
        <v>1195</v>
      </c>
      <c r="H261" s="14" t="s">
        <v>175</v>
      </c>
      <c r="I261" s="14" t="s">
        <v>176</v>
      </c>
      <c r="J261" s="14" t="s">
        <v>1196</v>
      </c>
      <c r="K261" s="14" t="s">
        <v>40</v>
      </c>
      <c r="L261" s="16" t="s">
        <v>6</v>
      </c>
      <c r="M261" s="14" t="s">
        <v>104</v>
      </c>
      <c r="N261" s="14" t="s">
        <v>105</v>
      </c>
      <c r="O261" s="14"/>
    </row>
    <row r="262" customFormat="false" ht="55.2" hidden="false" customHeight="false" outlineLevel="0" collapsed="false">
      <c r="A262" s="14" t="n">
        <v>261</v>
      </c>
      <c r="B262" s="14" t="s">
        <v>1197</v>
      </c>
      <c r="C262" s="14" t="s">
        <v>1198</v>
      </c>
      <c r="D262" s="14" t="s">
        <v>45</v>
      </c>
      <c r="E262" s="14" t="s">
        <v>34</v>
      </c>
      <c r="F262" s="14" t="s">
        <v>219</v>
      </c>
      <c r="G262" s="14" t="s">
        <v>1199</v>
      </c>
      <c r="H262" s="14" t="s">
        <v>37</v>
      </c>
      <c r="I262" s="14" t="s">
        <v>38</v>
      </c>
      <c r="J262" s="14" t="s">
        <v>1200</v>
      </c>
      <c r="K262" s="14" t="s">
        <v>40</v>
      </c>
      <c r="L262" s="16" t="s">
        <v>6</v>
      </c>
      <c r="M262" s="14" t="s">
        <v>104</v>
      </c>
      <c r="N262" s="14" t="s">
        <v>105</v>
      </c>
      <c r="O262" s="14"/>
    </row>
    <row r="263" customFormat="false" ht="55.2" hidden="false" customHeight="false" outlineLevel="0" collapsed="false">
      <c r="A263" s="14" t="n">
        <v>262</v>
      </c>
      <c r="B263" s="14" t="s">
        <v>1201</v>
      </c>
      <c r="C263" s="14" t="s">
        <v>1202</v>
      </c>
      <c r="D263" s="14" t="s">
        <v>45</v>
      </c>
      <c r="E263" s="14" t="s">
        <v>34</v>
      </c>
      <c r="F263" s="14"/>
      <c r="G263" s="14" t="s">
        <v>1203</v>
      </c>
      <c r="H263" s="14" t="s">
        <v>309</v>
      </c>
      <c r="I263" s="14" t="s">
        <v>49</v>
      </c>
      <c r="J263" s="14" t="s">
        <v>1204</v>
      </c>
      <c r="K263" s="14" t="s">
        <v>40</v>
      </c>
      <c r="L263" s="16" t="s">
        <v>6</v>
      </c>
      <c r="M263" s="14" t="s">
        <v>104</v>
      </c>
      <c r="N263" s="14" t="s">
        <v>105</v>
      </c>
      <c r="O263" s="14"/>
    </row>
    <row r="264" customFormat="false" ht="55.2" hidden="false" customHeight="false" outlineLevel="0" collapsed="false">
      <c r="A264" s="14" t="n">
        <v>263</v>
      </c>
      <c r="B264" s="14" t="s">
        <v>1205</v>
      </c>
      <c r="C264" s="14" t="s">
        <v>1206</v>
      </c>
      <c r="D264" s="14" t="s">
        <v>45</v>
      </c>
      <c r="E264" s="14" t="s">
        <v>431</v>
      </c>
      <c r="F264" s="14"/>
      <c r="G264" s="14" t="s">
        <v>1207</v>
      </c>
      <c r="H264" s="14" t="s">
        <v>37</v>
      </c>
      <c r="I264" s="14" t="s">
        <v>433</v>
      </c>
      <c r="J264" s="14" t="s">
        <v>1208</v>
      </c>
      <c r="K264" s="14" t="s">
        <v>40</v>
      </c>
      <c r="L264" s="16" t="s">
        <v>6</v>
      </c>
      <c r="M264" s="14" t="s">
        <v>104</v>
      </c>
      <c r="N264" s="14" t="s">
        <v>105</v>
      </c>
      <c r="O264" s="14"/>
    </row>
    <row r="265" customFormat="false" ht="55.2" hidden="false" customHeight="false" outlineLevel="0" collapsed="false">
      <c r="A265" s="14" t="n">
        <v>264</v>
      </c>
      <c r="B265" s="14" t="s">
        <v>1209</v>
      </c>
      <c r="C265" s="14" t="s">
        <v>1210</v>
      </c>
      <c r="D265" s="14" t="s">
        <v>34</v>
      </c>
      <c r="E265" s="14" t="s">
        <v>61</v>
      </c>
      <c r="F265" s="14"/>
      <c r="G265" s="14" t="s">
        <v>1211</v>
      </c>
      <c r="H265" s="14" t="s">
        <v>63</v>
      </c>
      <c r="I265" s="14" t="s">
        <v>38</v>
      </c>
      <c r="J265" s="14" t="s">
        <v>1212</v>
      </c>
      <c r="K265" s="14" t="s">
        <v>40</v>
      </c>
      <c r="L265" s="16" t="s">
        <v>6</v>
      </c>
      <c r="M265" s="14" t="s">
        <v>104</v>
      </c>
      <c r="N265" s="14" t="s">
        <v>105</v>
      </c>
      <c r="O265" s="14"/>
    </row>
    <row r="266" customFormat="false" ht="55.2" hidden="false" customHeight="false" outlineLevel="0" collapsed="false">
      <c r="A266" s="14" t="n">
        <v>265</v>
      </c>
      <c r="B266" s="14" t="s">
        <v>1213</v>
      </c>
      <c r="C266" s="14" t="s">
        <v>1214</v>
      </c>
      <c r="D266" s="14" t="s">
        <v>46</v>
      </c>
      <c r="E266" s="14" t="s">
        <v>45</v>
      </c>
      <c r="F266" s="14"/>
      <c r="G266" s="14" t="s">
        <v>1215</v>
      </c>
      <c r="H266" s="14" t="s">
        <v>175</v>
      </c>
      <c r="I266" s="14" t="s">
        <v>176</v>
      </c>
      <c r="J266" s="14" t="s">
        <v>1216</v>
      </c>
      <c r="K266" s="14" t="s">
        <v>40</v>
      </c>
      <c r="L266" s="16" t="s">
        <v>6</v>
      </c>
      <c r="M266" s="14" t="s">
        <v>104</v>
      </c>
      <c r="N266" s="14" t="s">
        <v>105</v>
      </c>
      <c r="O266" s="14"/>
    </row>
    <row r="267" customFormat="false" ht="55.2" hidden="false" customHeight="false" outlineLevel="0" collapsed="false">
      <c r="A267" s="14" t="n">
        <v>266</v>
      </c>
      <c r="B267" s="14" t="s">
        <v>1217</v>
      </c>
      <c r="C267" s="14" t="s">
        <v>1218</v>
      </c>
      <c r="D267" s="14" t="s">
        <v>219</v>
      </c>
      <c r="E267" s="14" t="s">
        <v>67</v>
      </c>
      <c r="F267" s="14" t="s">
        <v>35</v>
      </c>
      <c r="G267" s="14" t="s">
        <v>1219</v>
      </c>
      <c r="H267" s="14" t="s">
        <v>37</v>
      </c>
      <c r="I267" s="14" t="s">
        <v>38</v>
      </c>
      <c r="J267" s="14" t="s">
        <v>1220</v>
      </c>
      <c r="K267" s="14" t="s">
        <v>40</v>
      </c>
      <c r="L267" s="16" t="s">
        <v>6</v>
      </c>
      <c r="M267" s="14" t="s">
        <v>104</v>
      </c>
      <c r="N267" s="14" t="s">
        <v>105</v>
      </c>
      <c r="O267" s="14"/>
    </row>
    <row r="268" customFormat="false" ht="41.75" hidden="false" customHeight="false" outlineLevel="0" collapsed="false">
      <c r="A268" s="14" t="n">
        <v>267</v>
      </c>
      <c r="B268" s="14" t="s">
        <v>1221</v>
      </c>
      <c r="C268" s="14" t="s">
        <v>1222</v>
      </c>
      <c r="D268" s="14" t="s">
        <v>45</v>
      </c>
      <c r="E268" s="14" t="s">
        <v>34</v>
      </c>
      <c r="F268" s="14"/>
      <c r="G268" s="14" t="s">
        <v>1223</v>
      </c>
      <c r="H268" s="14" t="s">
        <v>37</v>
      </c>
      <c r="I268" s="14" t="s">
        <v>38</v>
      </c>
      <c r="J268" s="14" t="s">
        <v>708</v>
      </c>
      <c r="K268" s="14" t="s">
        <v>57</v>
      </c>
      <c r="L268" s="17" t="s">
        <v>7</v>
      </c>
      <c r="M268" s="14" t="s">
        <v>1224</v>
      </c>
      <c r="N268" s="14" t="s">
        <v>1225</v>
      </c>
      <c r="O268" s="14"/>
    </row>
    <row r="269" customFormat="false" ht="55.2" hidden="false" customHeight="false" outlineLevel="0" collapsed="false">
      <c r="A269" s="14" t="n">
        <v>268</v>
      </c>
      <c r="B269" s="14" t="s">
        <v>1226</v>
      </c>
      <c r="C269" s="14" t="s">
        <v>1227</v>
      </c>
      <c r="D269" s="14" t="s">
        <v>45</v>
      </c>
      <c r="E269" s="14" t="s">
        <v>34</v>
      </c>
      <c r="F269" s="14"/>
      <c r="G269" s="14" t="s">
        <v>1228</v>
      </c>
      <c r="H269" s="14" t="s">
        <v>37</v>
      </c>
      <c r="I269" s="14" t="s">
        <v>38</v>
      </c>
      <c r="J269" s="14" t="s">
        <v>1229</v>
      </c>
      <c r="K269" s="14" t="s">
        <v>40</v>
      </c>
      <c r="L269" s="16" t="s">
        <v>6</v>
      </c>
      <c r="M269" s="14" t="s">
        <v>104</v>
      </c>
      <c r="N269" s="14" t="s">
        <v>105</v>
      </c>
      <c r="O269" s="14"/>
    </row>
    <row r="270" customFormat="false" ht="55.2" hidden="false" customHeight="false" outlineLevel="0" collapsed="false">
      <c r="A270" s="14" t="n">
        <v>269</v>
      </c>
      <c r="B270" s="14" t="s">
        <v>1230</v>
      </c>
      <c r="C270" s="14" t="s">
        <v>1231</v>
      </c>
      <c r="D270" s="14" t="s">
        <v>34</v>
      </c>
      <c r="E270" s="14" t="s">
        <v>45</v>
      </c>
      <c r="F270" s="14" t="s">
        <v>219</v>
      </c>
      <c r="G270" s="14" t="s">
        <v>1232</v>
      </c>
      <c r="H270" s="14" t="s">
        <v>37</v>
      </c>
      <c r="I270" s="14" t="s">
        <v>38</v>
      </c>
      <c r="J270" s="14" t="s">
        <v>1233</v>
      </c>
      <c r="K270" s="14" t="s">
        <v>40</v>
      </c>
      <c r="L270" s="16" t="s">
        <v>6</v>
      </c>
      <c r="M270" s="14" t="s">
        <v>104</v>
      </c>
      <c r="N270" s="14" t="s">
        <v>105</v>
      </c>
      <c r="O270" s="14"/>
    </row>
    <row r="271" customFormat="false" ht="55.2" hidden="false" customHeight="false" outlineLevel="0" collapsed="false">
      <c r="A271" s="14" t="n">
        <v>270</v>
      </c>
      <c r="B271" s="14" t="s">
        <v>1234</v>
      </c>
      <c r="C271" s="14" t="s">
        <v>1235</v>
      </c>
      <c r="D271" s="14" t="s">
        <v>45</v>
      </c>
      <c r="E271" s="14" t="s">
        <v>1236</v>
      </c>
      <c r="F271" s="14"/>
      <c r="G271" s="14" t="s">
        <v>1237</v>
      </c>
      <c r="H271" s="14" t="s">
        <v>37</v>
      </c>
      <c r="I271" s="14" t="s">
        <v>433</v>
      </c>
      <c r="J271" s="14" t="s">
        <v>1238</v>
      </c>
      <c r="K271" s="14" t="s">
        <v>40</v>
      </c>
      <c r="L271" s="18" t="s">
        <v>8</v>
      </c>
      <c r="M271" s="14" t="s">
        <v>1239</v>
      </c>
      <c r="N271" s="14" t="s">
        <v>1240</v>
      </c>
      <c r="O271" s="14"/>
    </row>
    <row r="272" customFormat="false" ht="55.2" hidden="false" customHeight="false" outlineLevel="0" collapsed="false">
      <c r="A272" s="14" t="n">
        <v>271</v>
      </c>
      <c r="B272" s="14" t="s">
        <v>1241</v>
      </c>
      <c r="C272" s="14" t="s">
        <v>1242</v>
      </c>
      <c r="D272" s="14" t="s">
        <v>346</v>
      </c>
      <c r="E272" s="14" t="s">
        <v>45</v>
      </c>
      <c r="F272" s="14"/>
      <c r="G272" s="14" t="s">
        <v>1243</v>
      </c>
      <c r="H272" s="14" t="s">
        <v>175</v>
      </c>
      <c r="I272" s="14" t="s">
        <v>176</v>
      </c>
      <c r="J272" s="14" t="s">
        <v>1244</v>
      </c>
      <c r="K272" s="14" t="s">
        <v>40</v>
      </c>
      <c r="L272" s="16" t="s">
        <v>6</v>
      </c>
      <c r="M272" s="14" t="s">
        <v>104</v>
      </c>
      <c r="N272" s="14" t="s">
        <v>105</v>
      </c>
      <c r="O272" s="14"/>
    </row>
    <row r="273" customFormat="false" ht="55.2" hidden="false" customHeight="false" outlineLevel="0" collapsed="false">
      <c r="A273" s="14" t="n">
        <v>272</v>
      </c>
      <c r="B273" s="14" t="s">
        <v>1245</v>
      </c>
      <c r="C273" s="14" t="s">
        <v>1246</v>
      </c>
      <c r="D273" s="14" t="s">
        <v>34</v>
      </c>
      <c r="E273" s="14" t="s">
        <v>35</v>
      </c>
      <c r="F273" s="14"/>
      <c r="G273" s="14" t="s">
        <v>1247</v>
      </c>
      <c r="H273" s="14" t="s">
        <v>37</v>
      </c>
      <c r="I273" s="14" t="s">
        <v>38</v>
      </c>
      <c r="J273" s="14" t="s">
        <v>1248</v>
      </c>
      <c r="K273" s="14" t="s">
        <v>40</v>
      </c>
      <c r="L273" s="16" t="s">
        <v>6</v>
      </c>
      <c r="M273" s="14" t="s">
        <v>104</v>
      </c>
      <c r="N273" s="14" t="s">
        <v>105</v>
      </c>
      <c r="O273" s="14"/>
    </row>
    <row r="274" customFormat="false" ht="55.2" hidden="false" customHeight="false" outlineLevel="0" collapsed="false">
      <c r="A274" s="14" t="n">
        <v>273</v>
      </c>
      <c r="B274" s="14" t="s">
        <v>1249</v>
      </c>
      <c r="C274" s="14" t="s">
        <v>1250</v>
      </c>
      <c r="D274" s="14" t="s">
        <v>45</v>
      </c>
      <c r="E274" s="14" t="s">
        <v>34</v>
      </c>
      <c r="F274" s="14" t="s">
        <v>46</v>
      </c>
      <c r="G274" s="14" t="s">
        <v>1251</v>
      </c>
      <c r="H274" s="14" t="s">
        <v>63</v>
      </c>
      <c r="I274" s="14" t="s">
        <v>38</v>
      </c>
      <c r="J274" s="14" t="s">
        <v>1252</v>
      </c>
      <c r="K274" s="14" t="s">
        <v>40</v>
      </c>
      <c r="L274" s="16" t="s">
        <v>6</v>
      </c>
      <c r="M274" s="14" t="s">
        <v>104</v>
      </c>
      <c r="N274" s="14" t="s">
        <v>105</v>
      </c>
      <c r="O274" s="14"/>
    </row>
    <row r="275" customFormat="false" ht="55.2" hidden="false" customHeight="false" outlineLevel="0" collapsed="false">
      <c r="A275" s="14" t="n">
        <v>274</v>
      </c>
      <c r="B275" s="14" t="s">
        <v>1253</v>
      </c>
      <c r="C275" s="14" t="s">
        <v>1254</v>
      </c>
      <c r="D275" s="14" t="s">
        <v>46</v>
      </c>
      <c r="E275" s="14" t="s">
        <v>45</v>
      </c>
      <c r="F275" s="14"/>
      <c r="G275" s="14" t="s">
        <v>1255</v>
      </c>
      <c r="H275" s="14" t="s">
        <v>309</v>
      </c>
      <c r="I275" s="14" t="s">
        <v>176</v>
      </c>
      <c r="J275" s="14" t="s">
        <v>1256</v>
      </c>
      <c r="K275" s="14" t="s">
        <v>40</v>
      </c>
      <c r="L275" s="16" t="s">
        <v>6</v>
      </c>
      <c r="M275" s="14" t="s">
        <v>104</v>
      </c>
      <c r="N275" s="14" t="s">
        <v>105</v>
      </c>
      <c r="O275" s="14"/>
    </row>
    <row r="276" customFormat="false" ht="41.75" hidden="false" customHeight="false" outlineLevel="0" collapsed="false">
      <c r="A276" s="14" t="n">
        <v>275</v>
      </c>
      <c r="B276" s="14" t="s">
        <v>1257</v>
      </c>
      <c r="C276" s="14" t="s">
        <v>1258</v>
      </c>
      <c r="D276" s="14" t="s">
        <v>34</v>
      </c>
      <c r="E276" s="14" t="s">
        <v>45</v>
      </c>
      <c r="F276" s="14"/>
      <c r="G276" s="14" t="s">
        <v>1259</v>
      </c>
      <c r="H276" s="14" t="s">
        <v>37</v>
      </c>
      <c r="I276" s="14" t="s">
        <v>38</v>
      </c>
      <c r="J276" s="14" t="s">
        <v>1260</v>
      </c>
      <c r="K276" s="14" t="s">
        <v>40</v>
      </c>
      <c r="L276" s="16" t="s">
        <v>6</v>
      </c>
      <c r="M276" s="14" t="s">
        <v>104</v>
      </c>
      <c r="N276" s="14" t="s">
        <v>105</v>
      </c>
      <c r="O276" s="14"/>
    </row>
    <row r="277" customFormat="false" ht="55.2" hidden="false" customHeight="false" outlineLevel="0" collapsed="false">
      <c r="A277" s="14" t="n">
        <v>276</v>
      </c>
      <c r="B277" s="14" t="s">
        <v>1261</v>
      </c>
      <c r="C277" s="14" t="s">
        <v>1262</v>
      </c>
      <c r="D277" s="14" t="s">
        <v>45</v>
      </c>
      <c r="E277" s="14" t="s">
        <v>431</v>
      </c>
      <c r="F277" s="14" t="s">
        <v>460</v>
      </c>
      <c r="G277" s="14" t="s">
        <v>1263</v>
      </c>
      <c r="H277" s="14" t="s">
        <v>37</v>
      </c>
      <c r="I277" s="14" t="s">
        <v>433</v>
      </c>
      <c r="J277" s="14" t="s">
        <v>1264</v>
      </c>
      <c r="K277" s="14" t="s">
        <v>40</v>
      </c>
      <c r="L277" s="16" t="s">
        <v>6</v>
      </c>
      <c r="M277" s="14" t="s">
        <v>104</v>
      </c>
      <c r="N277" s="14" t="s">
        <v>105</v>
      </c>
      <c r="O277" s="14"/>
    </row>
    <row r="278" customFormat="false" ht="55.2" hidden="false" customHeight="false" outlineLevel="0" collapsed="false">
      <c r="A278" s="14" t="n">
        <v>277</v>
      </c>
      <c r="B278" s="14" t="s">
        <v>1265</v>
      </c>
      <c r="C278" s="14" t="s">
        <v>1266</v>
      </c>
      <c r="D278" s="14" t="s">
        <v>219</v>
      </c>
      <c r="E278" s="14" t="s">
        <v>35</v>
      </c>
      <c r="F278" s="14" t="s">
        <v>67</v>
      </c>
      <c r="G278" s="14" t="s">
        <v>1267</v>
      </c>
      <c r="H278" s="14" t="s">
        <v>37</v>
      </c>
      <c r="I278" s="14" t="s">
        <v>38</v>
      </c>
      <c r="J278" s="14" t="s">
        <v>1268</v>
      </c>
      <c r="K278" s="14" t="s">
        <v>40</v>
      </c>
      <c r="L278" s="16" t="s">
        <v>6</v>
      </c>
      <c r="M278" s="14" t="s">
        <v>104</v>
      </c>
      <c r="N278" s="14" t="s">
        <v>105</v>
      </c>
      <c r="O278" s="14"/>
    </row>
    <row r="279" customFormat="false" ht="55.2" hidden="false" customHeight="false" outlineLevel="0" collapsed="false">
      <c r="A279" s="14" t="n">
        <v>278</v>
      </c>
      <c r="B279" s="14" t="s">
        <v>1269</v>
      </c>
      <c r="C279" s="14" t="s">
        <v>1270</v>
      </c>
      <c r="D279" s="14" t="s">
        <v>46</v>
      </c>
      <c r="E279" s="14" t="s">
        <v>45</v>
      </c>
      <c r="F279" s="14" t="s">
        <v>346</v>
      </c>
      <c r="G279" s="14" t="s">
        <v>1271</v>
      </c>
      <c r="H279" s="14" t="s">
        <v>175</v>
      </c>
      <c r="I279" s="14" t="s">
        <v>176</v>
      </c>
      <c r="J279" s="14" t="s">
        <v>1272</v>
      </c>
      <c r="K279" s="14" t="s">
        <v>40</v>
      </c>
      <c r="L279" s="16" t="s">
        <v>6</v>
      </c>
      <c r="M279" s="14" t="s">
        <v>104</v>
      </c>
      <c r="N279" s="14" t="s">
        <v>105</v>
      </c>
      <c r="O279" s="14"/>
    </row>
    <row r="280" customFormat="false" ht="55.2" hidden="false" customHeight="false" outlineLevel="0" collapsed="false">
      <c r="A280" s="14" t="n">
        <v>279</v>
      </c>
      <c r="B280" s="14" t="s">
        <v>1273</v>
      </c>
      <c r="C280" s="14" t="s">
        <v>1274</v>
      </c>
      <c r="D280" s="14" t="s">
        <v>45</v>
      </c>
      <c r="E280" s="14" t="s">
        <v>34</v>
      </c>
      <c r="F280" s="14"/>
      <c r="G280" s="14" t="s">
        <v>1275</v>
      </c>
      <c r="H280" s="14" t="s">
        <v>37</v>
      </c>
      <c r="I280" s="14" t="s">
        <v>38</v>
      </c>
      <c r="J280" s="14" t="s">
        <v>1276</v>
      </c>
      <c r="K280" s="14" t="s">
        <v>40</v>
      </c>
      <c r="L280" s="16" t="s">
        <v>6</v>
      </c>
      <c r="M280" s="14" t="s">
        <v>104</v>
      </c>
      <c r="N280" s="14" t="s">
        <v>105</v>
      </c>
      <c r="O280" s="14"/>
    </row>
    <row r="281" customFormat="false" ht="55.2" hidden="false" customHeight="false" outlineLevel="0" collapsed="false">
      <c r="A281" s="14" t="n">
        <v>280</v>
      </c>
      <c r="B281" s="14" t="s">
        <v>1277</v>
      </c>
      <c r="C281" s="14" t="s">
        <v>1278</v>
      </c>
      <c r="D281" s="14" t="s">
        <v>34</v>
      </c>
      <c r="E281" s="14" t="s">
        <v>61</v>
      </c>
      <c r="F281" s="14"/>
      <c r="G281" s="14" t="s">
        <v>1279</v>
      </c>
      <c r="H281" s="14" t="s">
        <v>63</v>
      </c>
      <c r="I281" s="14" t="s">
        <v>38</v>
      </c>
      <c r="J281" s="14" t="s">
        <v>1280</v>
      </c>
      <c r="K281" s="14" t="s">
        <v>40</v>
      </c>
      <c r="L281" s="16" t="s">
        <v>6</v>
      </c>
      <c r="M281" s="14" t="s">
        <v>104</v>
      </c>
      <c r="N281" s="14" t="s">
        <v>105</v>
      </c>
      <c r="O281" s="14"/>
    </row>
    <row r="282" customFormat="false" ht="68.65" hidden="false" customHeight="false" outlineLevel="0" collapsed="false">
      <c r="A282" s="14" t="n">
        <v>281</v>
      </c>
      <c r="B282" s="14" t="s">
        <v>1281</v>
      </c>
      <c r="C282" s="14" t="s">
        <v>1282</v>
      </c>
      <c r="D282" s="14" t="s">
        <v>45</v>
      </c>
      <c r="E282" s="14" t="s">
        <v>1236</v>
      </c>
      <c r="F282" s="14"/>
      <c r="G282" s="14" t="s">
        <v>1283</v>
      </c>
      <c r="H282" s="14" t="s">
        <v>48</v>
      </c>
      <c r="I282" s="14" t="s">
        <v>433</v>
      </c>
      <c r="J282" s="14" t="s">
        <v>1284</v>
      </c>
      <c r="K282" s="14" t="s">
        <v>40</v>
      </c>
      <c r="L282" s="18" t="s">
        <v>8</v>
      </c>
      <c r="M282" s="14" t="s">
        <v>1285</v>
      </c>
      <c r="N282" s="14" t="s">
        <v>1240</v>
      </c>
      <c r="O282" s="14"/>
    </row>
    <row r="283" customFormat="false" ht="55.2" hidden="false" customHeight="false" outlineLevel="0" collapsed="false">
      <c r="A283" s="14" t="n">
        <v>282</v>
      </c>
      <c r="B283" s="14" t="s">
        <v>1286</v>
      </c>
      <c r="C283" s="14" t="s">
        <v>1287</v>
      </c>
      <c r="D283" s="14" t="s">
        <v>346</v>
      </c>
      <c r="E283" s="14" t="s">
        <v>45</v>
      </c>
      <c r="F283" s="14"/>
      <c r="G283" s="14" t="s">
        <v>1288</v>
      </c>
      <c r="H283" s="14" t="s">
        <v>175</v>
      </c>
      <c r="I283" s="14" t="s">
        <v>176</v>
      </c>
      <c r="J283" s="14" t="s">
        <v>1289</v>
      </c>
      <c r="K283" s="14" t="s">
        <v>40</v>
      </c>
      <c r="L283" s="16" t="s">
        <v>6</v>
      </c>
      <c r="M283" s="14" t="s">
        <v>104</v>
      </c>
      <c r="N283" s="14" t="s">
        <v>105</v>
      </c>
      <c r="O283" s="14"/>
    </row>
    <row r="284" customFormat="false" ht="55.2" hidden="false" customHeight="false" outlineLevel="0" collapsed="false">
      <c r="A284" s="14" t="n">
        <v>283</v>
      </c>
      <c r="B284" s="14" t="s">
        <v>1290</v>
      </c>
      <c r="C284" s="14" t="s">
        <v>1291</v>
      </c>
      <c r="D284" s="14" t="s">
        <v>45</v>
      </c>
      <c r="E284" s="14" t="s">
        <v>34</v>
      </c>
      <c r="F284" s="14" t="s">
        <v>219</v>
      </c>
      <c r="G284" s="14" t="s">
        <v>1292</v>
      </c>
      <c r="H284" s="14" t="s">
        <v>37</v>
      </c>
      <c r="I284" s="14" t="s">
        <v>38</v>
      </c>
      <c r="J284" s="14" t="s">
        <v>1293</v>
      </c>
      <c r="K284" s="14" t="s">
        <v>40</v>
      </c>
      <c r="L284" s="16" t="s">
        <v>6</v>
      </c>
      <c r="M284" s="14" t="s">
        <v>104</v>
      </c>
      <c r="N284" s="14" t="s">
        <v>105</v>
      </c>
      <c r="O284" s="14"/>
    </row>
    <row r="285" customFormat="false" ht="55.2" hidden="false" customHeight="false" outlineLevel="0" collapsed="false">
      <c r="A285" s="14" t="n">
        <v>284</v>
      </c>
      <c r="B285" s="14" t="s">
        <v>1294</v>
      </c>
      <c r="C285" s="14" t="s">
        <v>1295</v>
      </c>
      <c r="D285" s="14" t="s">
        <v>34</v>
      </c>
      <c r="E285" s="14" t="s">
        <v>45</v>
      </c>
      <c r="F285" s="14"/>
      <c r="G285" s="14" t="s">
        <v>1296</v>
      </c>
      <c r="H285" s="14" t="s">
        <v>37</v>
      </c>
      <c r="I285" s="14" t="s">
        <v>38</v>
      </c>
      <c r="J285" s="14" t="s">
        <v>1297</v>
      </c>
      <c r="K285" s="14" t="s">
        <v>40</v>
      </c>
      <c r="L285" s="16" t="s">
        <v>6</v>
      </c>
      <c r="M285" s="14" t="s">
        <v>104</v>
      </c>
      <c r="N285" s="14" t="s">
        <v>105</v>
      </c>
      <c r="O285" s="14"/>
    </row>
    <row r="286" customFormat="false" ht="55.2" hidden="false" customHeight="false" outlineLevel="0" collapsed="false">
      <c r="A286" s="14" t="n">
        <v>285</v>
      </c>
      <c r="B286" s="14" t="s">
        <v>1298</v>
      </c>
      <c r="C286" s="14" t="s">
        <v>1299</v>
      </c>
      <c r="D286" s="14" t="s">
        <v>46</v>
      </c>
      <c r="E286" s="14" t="s">
        <v>45</v>
      </c>
      <c r="F286" s="14"/>
      <c r="G286" s="14" t="s">
        <v>1300</v>
      </c>
      <c r="H286" s="14" t="s">
        <v>175</v>
      </c>
      <c r="I286" s="14" t="s">
        <v>176</v>
      </c>
      <c r="J286" s="14" t="s">
        <v>1301</v>
      </c>
      <c r="K286" s="14" t="s">
        <v>40</v>
      </c>
      <c r="L286" s="16" t="s">
        <v>6</v>
      </c>
      <c r="M286" s="14" t="s">
        <v>104</v>
      </c>
      <c r="N286" s="14" t="s">
        <v>105</v>
      </c>
      <c r="O286" s="14"/>
    </row>
    <row r="287" customFormat="false" ht="55.2" hidden="false" customHeight="false" outlineLevel="0" collapsed="false">
      <c r="A287" s="14" t="n">
        <v>286</v>
      </c>
      <c r="B287" s="14" t="s">
        <v>1302</v>
      </c>
      <c r="C287" s="14" t="s">
        <v>1303</v>
      </c>
      <c r="D287" s="14" t="s">
        <v>45</v>
      </c>
      <c r="E287" s="14" t="s">
        <v>431</v>
      </c>
      <c r="F287" s="14"/>
      <c r="G287" s="14" t="s">
        <v>1304</v>
      </c>
      <c r="H287" s="14" t="s">
        <v>37</v>
      </c>
      <c r="I287" s="14" t="s">
        <v>433</v>
      </c>
      <c r="J287" s="14" t="s">
        <v>1305</v>
      </c>
      <c r="K287" s="14" t="s">
        <v>40</v>
      </c>
      <c r="L287" s="16" t="s">
        <v>6</v>
      </c>
      <c r="M287" s="14" t="s">
        <v>104</v>
      </c>
      <c r="N287" s="14" t="s">
        <v>105</v>
      </c>
      <c r="O287" s="14"/>
    </row>
    <row r="288" customFormat="false" ht="55.2" hidden="false" customHeight="false" outlineLevel="0" collapsed="false">
      <c r="A288" s="14" t="n">
        <v>287</v>
      </c>
      <c r="B288" s="14" t="s">
        <v>1306</v>
      </c>
      <c r="C288" s="14" t="s">
        <v>1307</v>
      </c>
      <c r="D288" s="14" t="s">
        <v>219</v>
      </c>
      <c r="E288" s="14" t="s">
        <v>297</v>
      </c>
      <c r="F288" s="14"/>
      <c r="G288" s="14" t="s">
        <v>1308</v>
      </c>
      <c r="H288" s="14" t="s">
        <v>37</v>
      </c>
      <c r="I288" s="14" t="s">
        <v>38</v>
      </c>
      <c r="J288" s="14" t="s">
        <v>1309</v>
      </c>
      <c r="K288" s="14" t="s">
        <v>40</v>
      </c>
      <c r="L288" s="18" t="s">
        <v>8</v>
      </c>
      <c r="M288" s="14" t="s">
        <v>1310</v>
      </c>
      <c r="N288" s="14" t="s">
        <v>1311</v>
      </c>
      <c r="O288" s="14"/>
    </row>
    <row r="289" customFormat="false" ht="28.35" hidden="false" customHeight="false" outlineLevel="0" collapsed="false">
      <c r="A289" s="14" t="n">
        <v>288</v>
      </c>
      <c r="B289" s="14" t="s">
        <v>1312</v>
      </c>
      <c r="C289" s="14" t="s">
        <v>1313</v>
      </c>
      <c r="D289" s="14" t="s">
        <v>1314</v>
      </c>
      <c r="E289" s="14"/>
      <c r="F289" s="14"/>
      <c r="G289" s="14" t="s">
        <v>1315</v>
      </c>
      <c r="H289" s="14" t="s">
        <v>37</v>
      </c>
      <c r="I289" s="14" t="s">
        <v>38</v>
      </c>
      <c r="J289" s="14" t="s">
        <v>1316</v>
      </c>
      <c r="K289" s="14" t="s">
        <v>40</v>
      </c>
      <c r="L289" s="15" t="s">
        <v>9</v>
      </c>
      <c r="M289" s="14" t="s">
        <v>1317</v>
      </c>
      <c r="N289" s="14" t="s">
        <v>1318</v>
      </c>
      <c r="O289" s="14"/>
    </row>
    <row r="290" customFormat="false" ht="41.75" hidden="false" customHeight="false" outlineLevel="0" collapsed="false">
      <c r="A290" s="14" t="n">
        <v>289</v>
      </c>
      <c r="B290" s="14" t="s">
        <v>1319</v>
      </c>
      <c r="C290" s="14" t="s">
        <v>1320</v>
      </c>
      <c r="D290" s="14" t="s">
        <v>45</v>
      </c>
      <c r="E290" s="14" t="s">
        <v>34</v>
      </c>
      <c r="F290" s="14"/>
      <c r="G290" s="14" t="s">
        <v>1321</v>
      </c>
      <c r="H290" s="14" t="s">
        <v>37</v>
      </c>
      <c r="I290" s="14" t="s">
        <v>38</v>
      </c>
      <c r="J290" s="14" t="s">
        <v>1322</v>
      </c>
      <c r="K290" s="14" t="s">
        <v>40</v>
      </c>
      <c r="L290" s="16" t="s">
        <v>6</v>
      </c>
      <c r="M290" s="14" t="s">
        <v>104</v>
      </c>
      <c r="N290" s="14" t="s">
        <v>105</v>
      </c>
      <c r="O290" s="14"/>
    </row>
    <row r="291" customFormat="false" ht="55.2" hidden="false" customHeight="false" outlineLevel="0" collapsed="false">
      <c r="A291" s="14" t="n">
        <v>290</v>
      </c>
      <c r="B291" s="14" t="s">
        <v>1323</v>
      </c>
      <c r="C291" s="14" t="s">
        <v>1324</v>
      </c>
      <c r="D291" s="14" t="s">
        <v>34</v>
      </c>
      <c r="E291" s="14" t="s">
        <v>35</v>
      </c>
      <c r="F291" s="14"/>
      <c r="G291" s="14" t="s">
        <v>1325</v>
      </c>
      <c r="H291" s="14" t="s">
        <v>37</v>
      </c>
      <c r="I291" s="14" t="s">
        <v>38</v>
      </c>
      <c r="J291" s="14" t="s">
        <v>1326</v>
      </c>
      <c r="K291" s="14" t="s">
        <v>40</v>
      </c>
      <c r="L291" s="16" t="s">
        <v>6</v>
      </c>
      <c r="M291" s="14" t="s">
        <v>104</v>
      </c>
      <c r="N291" s="14" t="s">
        <v>105</v>
      </c>
      <c r="O291" s="14"/>
    </row>
    <row r="292" customFormat="false" ht="41.75" hidden="false" customHeight="false" outlineLevel="0" collapsed="false">
      <c r="A292" s="14" t="n">
        <v>291</v>
      </c>
      <c r="B292" s="14" t="s">
        <v>1327</v>
      </c>
      <c r="C292" s="14" t="s">
        <v>1328</v>
      </c>
      <c r="D292" s="14" t="s">
        <v>46</v>
      </c>
      <c r="E292" s="14" t="s">
        <v>45</v>
      </c>
      <c r="F292" s="14" t="s">
        <v>346</v>
      </c>
      <c r="G292" s="14" t="s">
        <v>1329</v>
      </c>
      <c r="H292" s="14" t="s">
        <v>309</v>
      </c>
      <c r="I292" s="14" t="s">
        <v>176</v>
      </c>
      <c r="J292" s="14" t="s">
        <v>1330</v>
      </c>
      <c r="K292" s="14" t="s">
        <v>40</v>
      </c>
      <c r="L292" s="16" t="s">
        <v>6</v>
      </c>
      <c r="M292" s="14" t="s">
        <v>104</v>
      </c>
      <c r="N292" s="14" t="s">
        <v>105</v>
      </c>
      <c r="O292" s="14"/>
    </row>
    <row r="293" customFormat="false" ht="41.75" hidden="false" customHeight="false" outlineLevel="0" collapsed="false">
      <c r="A293" s="14" t="n">
        <v>292</v>
      </c>
      <c r="B293" s="14" t="s">
        <v>1331</v>
      </c>
      <c r="C293" s="14" t="s">
        <v>1332</v>
      </c>
      <c r="D293" s="14" t="s">
        <v>45</v>
      </c>
      <c r="E293" s="14" t="s">
        <v>34</v>
      </c>
      <c r="F293" s="14" t="s">
        <v>219</v>
      </c>
      <c r="G293" s="14" t="s">
        <v>1333</v>
      </c>
      <c r="H293" s="14" t="s">
        <v>37</v>
      </c>
      <c r="I293" s="14" t="s">
        <v>38</v>
      </c>
      <c r="J293" s="14" t="s">
        <v>1334</v>
      </c>
      <c r="K293" s="14" t="s">
        <v>40</v>
      </c>
      <c r="L293" s="16" t="s">
        <v>6</v>
      </c>
      <c r="M293" s="14" t="s">
        <v>104</v>
      </c>
      <c r="N293" s="14" t="s">
        <v>105</v>
      </c>
      <c r="O293" s="14"/>
    </row>
    <row r="294" customFormat="false" ht="55.2" hidden="false" customHeight="false" outlineLevel="0" collapsed="false">
      <c r="A294" s="14" t="n">
        <v>293</v>
      </c>
      <c r="B294" s="14" t="s">
        <v>1335</v>
      </c>
      <c r="C294" s="14" t="s">
        <v>1336</v>
      </c>
      <c r="D294" s="14" t="s">
        <v>45</v>
      </c>
      <c r="E294" s="14" t="s">
        <v>431</v>
      </c>
      <c r="F294" s="14" t="s">
        <v>460</v>
      </c>
      <c r="G294" s="14" t="s">
        <v>1337</v>
      </c>
      <c r="H294" s="14" t="s">
        <v>37</v>
      </c>
      <c r="I294" s="14" t="s">
        <v>433</v>
      </c>
      <c r="J294" s="14" t="s">
        <v>1338</v>
      </c>
      <c r="K294" s="14" t="s">
        <v>40</v>
      </c>
      <c r="L294" s="16" t="s">
        <v>6</v>
      </c>
      <c r="M294" s="14" t="s">
        <v>104</v>
      </c>
      <c r="N294" s="14" t="s">
        <v>105</v>
      </c>
      <c r="O294" s="14"/>
    </row>
    <row r="295" customFormat="false" ht="55.2" hidden="false" customHeight="false" outlineLevel="0" collapsed="false">
      <c r="A295" s="14" t="n">
        <v>294</v>
      </c>
      <c r="B295" s="14" t="s">
        <v>1339</v>
      </c>
      <c r="C295" s="14" t="s">
        <v>1340</v>
      </c>
      <c r="D295" s="14" t="s">
        <v>346</v>
      </c>
      <c r="E295" s="14" t="s">
        <v>45</v>
      </c>
      <c r="F295" s="14"/>
      <c r="G295" s="14" t="s">
        <v>1341</v>
      </c>
      <c r="H295" s="14" t="s">
        <v>175</v>
      </c>
      <c r="I295" s="14" t="s">
        <v>176</v>
      </c>
      <c r="J295" s="14" t="s">
        <v>1342</v>
      </c>
      <c r="K295" s="14" t="s">
        <v>40</v>
      </c>
      <c r="L295" s="16" t="s">
        <v>6</v>
      </c>
      <c r="M295" s="14" t="s">
        <v>104</v>
      </c>
      <c r="N295" s="14" t="s">
        <v>105</v>
      </c>
      <c r="O295" s="14"/>
    </row>
    <row r="296" customFormat="false" ht="55.2" hidden="false" customHeight="false" outlineLevel="0" collapsed="false">
      <c r="A296" s="14" t="n">
        <v>295</v>
      </c>
      <c r="B296" s="14" t="s">
        <v>1343</v>
      </c>
      <c r="C296" s="14" t="s">
        <v>1344</v>
      </c>
      <c r="D296" s="14" t="s">
        <v>34</v>
      </c>
      <c r="E296" s="14" t="s">
        <v>61</v>
      </c>
      <c r="F296" s="14"/>
      <c r="G296" s="14" t="s">
        <v>1345</v>
      </c>
      <c r="H296" s="14" t="s">
        <v>63</v>
      </c>
      <c r="I296" s="14" t="s">
        <v>38</v>
      </c>
      <c r="J296" s="14" t="s">
        <v>1346</v>
      </c>
      <c r="K296" s="14" t="s">
        <v>40</v>
      </c>
      <c r="L296" s="16" t="s">
        <v>6</v>
      </c>
      <c r="M296" s="14" t="s">
        <v>104</v>
      </c>
      <c r="N296" s="14" t="s">
        <v>105</v>
      </c>
      <c r="O296" s="14"/>
    </row>
    <row r="297" customFormat="false" ht="55.2" hidden="false" customHeight="false" outlineLevel="0" collapsed="false">
      <c r="A297" s="14" t="n">
        <v>296</v>
      </c>
      <c r="B297" s="14" t="s">
        <v>1347</v>
      </c>
      <c r="C297" s="14" t="s">
        <v>1348</v>
      </c>
      <c r="D297" s="14" t="s">
        <v>45</v>
      </c>
      <c r="E297" s="14" t="s">
        <v>34</v>
      </c>
      <c r="F297" s="14"/>
      <c r="G297" s="14" t="s">
        <v>1349</v>
      </c>
      <c r="H297" s="14" t="s">
        <v>37</v>
      </c>
      <c r="I297" s="14" t="s">
        <v>38</v>
      </c>
      <c r="J297" s="14" t="s">
        <v>1350</v>
      </c>
      <c r="K297" s="14" t="s">
        <v>40</v>
      </c>
      <c r="L297" s="16" t="s">
        <v>6</v>
      </c>
      <c r="M297" s="14" t="s">
        <v>104</v>
      </c>
      <c r="N297" s="14" t="s">
        <v>105</v>
      </c>
      <c r="O297" s="14"/>
    </row>
    <row r="298" customFormat="false" ht="55.2" hidden="false" customHeight="false" outlineLevel="0" collapsed="false">
      <c r="A298" s="14" t="n">
        <v>297</v>
      </c>
      <c r="B298" s="14" t="s">
        <v>1351</v>
      </c>
      <c r="C298" s="14" t="s">
        <v>1352</v>
      </c>
      <c r="D298" s="14" t="s">
        <v>46</v>
      </c>
      <c r="E298" s="14" t="s">
        <v>45</v>
      </c>
      <c r="F298" s="14"/>
      <c r="G298" s="14" t="s">
        <v>1353</v>
      </c>
      <c r="H298" s="14" t="s">
        <v>63</v>
      </c>
      <c r="I298" s="14" t="s">
        <v>176</v>
      </c>
      <c r="J298" s="14" t="s">
        <v>1354</v>
      </c>
      <c r="K298" s="14" t="s">
        <v>40</v>
      </c>
      <c r="L298" s="16" t="s">
        <v>6</v>
      </c>
      <c r="M298" s="14" t="s">
        <v>104</v>
      </c>
      <c r="N298" s="14" t="s">
        <v>105</v>
      </c>
      <c r="O298" s="14"/>
    </row>
    <row r="299" customFormat="false" ht="55.2" hidden="false" customHeight="false" outlineLevel="0" collapsed="false">
      <c r="A299" s="14" t="n">
        <v>298</v>
      </c>
      <c r="B299" s="14" t="s">
        <v>1355</v>
      </c>
      <c r="C299" s="14" t="s">
        <v>1356</v>
      </c>
      <c r="D299" s="14" t="s">
        <v>219</v>
      </c>
      <c r="E299" s="14" t="s">
        <v>67</v>
      </c>
      <c r="F299" s="14"/>
      <c r="G299" s="14" t="s">
        <v>1357</v>
      </c>
      <c r="H299" s="14" t="s">
        <v>37</v>
      </c>
      <c r="I299" s="14" t="s">
        <v>38</v>
      </c>
      <c r="J299" s="14" t="s">
        <v>1358</v>
      </c>
      <c r="K299" s="14" t="s">
        <v>40</v>
      </c>
      <c r="L299" s="16" t="s">
        <v>6</v>
      </c>
      <c r="M299" s="14" t="s">
        <v>104</v>
      </c>
      <c r="N299" s="14" t="s">
        <v>105</v>
      </c>
      <c r="O299" s="14"/>
    </row>
    <row r="300" customFormat="false" ht="55.2" hidden="false" customHeight="false" outlineLevel="0" collapsed="false">
      <c r="A300" s="14" t="n">
        <v>299</v>
      </c>
      <c r="B300" s="14" t="s">
        <v>1359</v>
      </c>
      <c r="C300" s="14" t="s">
        <v>1360</v>
      </c>
      <c r="D300" s="14" t="s">
        <v>45</v>
      </c>
      <c r="E300" s="14" t="s">
        <v>1236</v>
      </c>
      <c r="F300" s="14"/>
      <c r="G300" s="14" t="s">
        <v>1361</v>
      </c>
      <c r="H300" s="14" t="s">
        <v>37</v>
      </c>
      <c r="I300" s="14" t="s">
        <v>433</v>
      </c>
      <c r="J300" s="14" t="s">
        <v>1362</v>
      </c>
      <c r="K300" s="14" t="s">
        <v>40</v>
      </c>
      <c r="L300" s="18" t="s">
        <v>8</v>
      </c>
      <c r="M300" s="14" t="s">
        <v>1363</v>
      </c>
      <c r="N300" s="14" t="s">
        <v>1240</v>
      </c>
      <c r="O300" s="14"/>
    </row>
    <row r="301" customFormat="false" ht="55.2" hidden="false" customHeight="false" outlineLevel="0" collapsed="false">
      <c r="A301" s="14" t="n">
        <v>300</v>
      </c>
      <c r="B301" s="14" t="s">
        <v>1364</v>
      </c>
      <c r="C301" s="14" t="s">
        <v>1365</v>
      </c>
      <c r="D301" s="14" t="s">
        <v>45</v>
      </c>
      <c r="E301" s="14" t="s">
        <v>34</v>
      </c>
      <c r="F301" s="14" t="s">
        <v>46</v>
      </c>
      <c r="G301" s="14" t="s">
        <v>1366</v>
      </c>
      <c r="H301" s="14" t="s">
        <v>63</v>
      </c>
      <c r="I301" s="14" t="s">
        <v>176</v>
      </c>
      <c r="J301" s="14" t="s">
        <v>1367</v>
      </c>
      <c r="K301" s="14" t="s">
        <v>40</v>
      </c>
      <c r="L301" s="16" t="s">
        <v>6</v>
      </c>
      <c r="M301" s="14" t="s">
        <v>104</v>
      </c>
      <c r="N301" s="14" t="s">
        <v>105</v>
      </c>
      <c r="O301" s="14"/>
    </row>
    <row r="302" customFormat="false" ht="41.75" hidden="false" customHeight="false" outlineLevel="0" collapsed="false">
      <c r="A302" s="14" t="n">
        <v>301</v>
      </c>
      <c r="B302" s="14" t="s">
        <v>1368</v>
      </c>
      <c r="C302" s="14" t="s">
        <v>1369</v>
      </c>
      <c r="D302" s="14" t="s">
        <v>34</v>
      </c>
      <c r="E302" s="14" t="s">
        <v>45</v>
      </c>
      <c r="F302" s="14"/>
      <c r="G302" s="14" t="s">
        <v>1370</v>
      </c>
      <c r="H302" s="14" t="s">
        <v>37</v>
      </c>
      <c r="I302" s="14" t="s">
        <v>38</v>
      </c>
      <c r="J302" s="14" t="s">
        <v>1371</v>
      </c>
      <c r="K302" s="14" t="s">
        <v>40</v>
      </c>
      <c r="L302" s="16" t="s">
        <v>6</v>
      </c>
      <c r="M302" s="14" t="s">
        <v>104</v>
      </c>
      <c r="N302" s="14" t="s">
        <v>105</v>
      </c>
      <c r="O302" s="14"/>
    </row>
    <row r="303" customFormat="false" ht="55.2" hidden="false" customHeight="false" outlineLevel="0" collapsed="false">
      <c r="A303" s="14" t="n">
        <v>302</v>
      </c>
      <c r="B303" s="14" t="s">
        <v>1372</v>
      </c>
      <c r="C303" s="14" t="s">
        <v>1373</v>
      </c>
      <c r="D303" s="14" t="s">
        <v>46</v>
      </c>
      <c r="E303" s="14" t="s">
        <v>45</v>
      </c>
      <c r="F303" s="14" t="s">
        <v>346</v>
      </c>
      <c r="G303" s="14" t="s">
        <v>1374</v>
      </c>
      <c r="H303" s="14" t="s">
        <v>63</v>
      </c>
      <c r="I303" s="14" t="s">
        <v>176</v>
      </c>
      <c r="J303" s="14" t="s">
        <v>1375</v>
      </c>
      <c r="K303" s="14" t="s">
        <v>40</v>
      </c>
      <c r="L303" s="16" t="s">
        <v>6</v>
      </c>
      <c r="M303" s="14" t="s">
        <v>104</v>
      </c>
      <c r="N303" s="14" t="s">
        <v>105</v>
      </c>
      <c r="O303" s="14"/>
    </row>
    <row r="304" customFormat="false" ht="55.2" hidden="false" customHeight="false" outlineLevel="0" collapsed="false">
      <c r="A304" s="14" t="n">
        <v>303</v>
      </c>
      <c r="B304" s="14" t="s">
        <v>1376</v>
      </c>
      <c r="C304" s="14" t="s">
        <v>1377</v>
      </c>
      <c r="D304" s="14" t="s">
        <v>45</v>
      </c>
      <c r="E304" s="14" t="s">
        <v>431</v>
      </c>
      <c r="F304" s="14"/>
      <c r="G304" s="14" t="s">
        <v>1378</v>
      </c>
      <c r="H304" s="14" t="s">
        <v>37</v>
      </c>
      <c r="I304" s="14" t="s">
        <v>433</v>
      </c>
      <c r="J304" s="14" t="s">
        <v>1379</v>
      </c>
      <c r="K304" s="14" t="s">
        <v>40</v>
      </c>
      <c r="L304" s="16" t="s">
        <v>6</v>
      </c>
      <c r="M304" s="14" t="s">
        <v>104</v>
      </c>
      <c r="N304" s="14" t="s">
        <v>105</v>
      </c>
      <c r="O304" s="14"/>
    </row>
    <row r="305" customFormat="false" ht="41.75" hidden="false" customHeight="false" outlineLevel="0" collapsed="false">
      <c r="A305" s="14" t="n">
        <v>304</v>
      </c>
      <c r="B305" s="14" t="s">
        <v>1380</v>
      </c>
      <c r="C305" s="14" t="s">
        <v>1381</v>
      </c>
      <c r="D305" s="14" t="s">
        <v>45</v>
      </c>
      <c r="E305" s="14" t="s">
        <v>34</v>
      </c>
      <c r="F305" s="14" t="s">
        <v>219</v>
      </c>
      <c r="G305" s="14" t="s">
        <v>1382</v>
      </c>
      <c r="H305" s="14" t="s">
        <v>37</v>
      </c>
      <c r="I305" s="14" t="s">
        <v>38</v>
      </c>
      <c r="J305" s="14" t="s">
        <v>1383</v>
      </c>
      <c r="K305" s="14" t="s">
        <v>40</v>
      </c>
      <c r="L305" s="16" t="s">
        <v>6</v>
      </c>
      <c r="M305" s="14" t="s">
        <v>104</v>
      </c>
      <c r="N305" s="14" t="s">
        <v>105</v>
      </c>
      <c r="O305" s="14"/>
    </row>
    <row r="306" customFormat="false" ht="41.75" hidden="false" customHeight="false" outlineLevel="0" collapsed="false">
      <c r="A306" s="14" t="n">
        <v>305</v>
      </c>
      <c r="B306" s="14" t="s">
        <v>1384</v>
      </c>
      <c r="C306" s="14" t="s">
        <v>1385</v>
      </c>
      <c r="D306" s="14" t="s">
        <v>34</v>
      </c>
      <c r="E306" s="14" t="s">
        <v>61</v>
      </c>
      <c r="F306" s="14"/>
      <c r="G306" s="14" t="s">
        <v>1386</v>
      </c>
      <c r="H306" s="14" t="s">
        <v>63</v>
      </c>
      <c r="I306" s="14" t="s">
        <v>38</v>
      </c>
      <c r="J306" s="14" t="s">
        <v>1387</v>
      </c>
      <c r="K306" s="14" t="s">
        <v>40</v>
      </c>
      <c r="L306" s="16" t="s">
        <v>6</v>
      </c>
      <c r="M306" s="14" t="s">
        <v>104</v>
      </c>
      <c r="N306" s="14" t="s">
        <v>105</v>
      </c>
      <c r="O306" s="14"/>
    </row>
    <row r="307" customFormat="false" ht="55.2" hidden="false" customHeight="false" outlineLevel="0" collapsed="false">
      <c r="A307" s="14" t="n">
        <v>306</v>
      </c>
      <c r="B307" s="14" t="s">
        <v>1388</v>
      </c>
      <c r="C307" s="14" t="s">
        <v>1389</v>
      </c>
      <c r="D307" s="14" t="s">
        <v>45</v>
      </c>
      <c r="E307" s="14" t="s">
        <v>34</v>
      </c>
      <c r="F307" s="14" t="s">
        <v>46</v>
      </c>
      <c r="G307" s="14" t="s">
        <v>1390</v>
      </c>
      <c r="H307" s="14" t="s">
        <v>309</v>
      </c>
      <c r="I307" s="14" t="s">
        <v>176</v>
      </c>
      <c r="J307" s="14" t="s">
        <v>1391</v>
      </c>
      <c r="K307" s="14" t="s">
        <v>40</v>
      </c>
      <c r="L307" s="16" t="s">
        <v>6</v>
      </c>
      <c r="M307" s="14" t="s">
        <v>104</v>
      </c>
      <c r="N307" s="14" t="s">
        <v>105</v>
      </c>
      <c r="O307" s="14"/>
    </row>
    <row r="308" customFormat="false" ht="41.75" hidden="false" customHeight="false" outlineLevel="0" collapsed="false">
      <c r="A308" s="14" t="n">
        <v>307</v>
      </c>
      <c r="B308" s="14" t="s">
        <v>1392</v>
      </c>
      <c r="C308" s="14" t="s">
        <v>1393</v>
      </c>
      <c r="D308" s="14" t="s">
        <v>34</v>
      </c>
      <c r="E308" s="14" t="s">
        <v>45</v>
      </c>
      <c r="F308" s="14" t="s">
        <v>219</v>
      </c>
      <c r="G308" s="14" t="s">
        <v>1394</v>
      </c>
      <c r="H308" s="14" t="s">
        <v>37</v>
      </c>
      <c r="I308" s="14" t="s">
        <v>38</v>
      </c>
      <c r="J308" s="14" t="s">
        <v>1395</v>
      </c>
      <c r="K308" s="14" t="s">
        <v>40</v>
      </c>
      <c r="L308" s="16" t="s">
        <v>6</v>
      </c>
      <c r="M308" s="14" t="s">
        <v>104</v>
      </c>
      <c r="N308" s="14" t="s">
        <v>105</v>
      </c>
      <c r="O308" s="14"/>
    </row>
    <row r="309" customFormat="false" ht="55.2" hidden="false" customHeight="false" outlineLevel="0" collapsed="false">
      <c r="A309" s="14" t="n">
        <v>308</v>
      </c>
      <c r="B309" s="14" t="s">
        <v>1396</v>
      </c>
      <c r="C309" s="14" t="s">
        <v>1397</v>
      </c>
      <c r="D309" s="14" t="s">
        <v>45</v>
      </c>
      <c r="E309" s="14" t="s">
        <v>431</v>
      </c>
      <c r="F309" s="14" t="s">
        <v>460</v>
      </c>
      <c r="G309" s="14" t="s">
        <v>1398</v>
      </c>
      <c r="H309" s="14" t="s">
        <v>37</v>
      </c>
      <c r="I309" s="14" t="s">
        <v>433</v>
      </c>
      <c r="J309" s="14" t="s">
        <v>1399</v>
      </c>
      <c r="K309" s="14" t="s">
        <v>40</v>
      </c>
      <c r="L309" s="16" t="s">
        <v>6</v>
      </c>
      <c r="M309" s="14" t="s">
        <v>104</v>
      </c>
      <c r="N309" s="14" t="s">
        <v>105</v>
      </c>
      <c r="O309" s="14"/>
    </row>
    <row r="310" customFormat="false" ht="55.2" hidden="false" customHeight="false" outlineLevel="0" collapsed="false">
      <c r="A310" s="14" t="n">
        <v>309</v>
      </c>
      <c r="B310" s="14" t="s">
        <v>1400</v>
      </c>
      <c r="C310" s="14" t="s">
        <v>1401</v>
      </c>
      <c r="D310" s="14" t="s">
        <v>45</v>
      </c>
      <c r="E310" s="14" t="s">
        <v>34</v>
      </c>
      <c r="F310" s="14"/>
      <c r="G310" s="14" t="s">
        <v>1402</v>
      </c>
      <c r="H310" s="14" t="s">
        <v>63</v>
      </c>
      <c r="I310" s="14" t="s">
        <v>49</v>
      </c>
      <c r="J310" s="14" t="s">
        <v>1403</v>
      </c>
      <c r="K310" s="14" t="s">
        <v>40</v>
      </c>
      <c r="L310" s="16" t="s">
        <v>6</v>
      </c>
      <c r="M310" s="14" t="s">
        <v>104</v>
      </c>
      <c r="N310" s="14" t="s">
        <v>105</v>
      </c>
      <c r="O310" s="14"/>
    </row>
    <row r="311" customFormat="false" ht="55.2" hidden="false" customHeight="false" outlineLevel="0" collapsed="false">
      <c r="A311" s="14" t="n">
        <v>310</v>
      </c>
      <c r="B311" s="14" t="s">
        <v>1404</v>
      </c>
      <c r="C311" s="14" t="s">
        <v>1405</v>
      </c>
      <c r="D311" s="14" t="s">
        <v>34</v>
      </c>
      <c r="E311" s="14" t="s">
        <v>61</v>
      </c>
      <c r="F311" s="14"/>
      <c r="G311" s="14" t="s">
        <v>1406</v>
      </c>
      <c r="H311" s="14" t="s">
        <v>63</v>
      </c>
      <c r="I311" s="14" t="s">
        <v>38</v>
      </c>
      <c r="J311" s="14" t="s">
        <v>1407</v>
      </c>
      <c r="K311" s="14" t="s">
        <v>40</v>
      </c>
      <c r="L311" s="16" t="s">
        <v>6</v>
      </c>
      <c r="M311" s="14" t="s">
        <v>104</v>
      </c>
      <c r="N311" s="14" t="s">
        <v>105</v>
      </c>
      <c r="O311" s="14"/>
    </row>
    <row r="312" customFormat="false" ht="55.2" hidden="false" customHeight="false" outlineLevel="0" collapsed="false">
      <c r="A312" s="14" t="n">
        <v>311</v>
      </c>
      <c r="B312" s="14" t="s">
        <v>1408</v>
      </c>
      <c r="C312" s="14" t="s">
        <v>1409</v>
      </c>
      <c r="D312" s="14" t="s">
        <v>45</v>
      </c>
      <c r="E312" s="14" t="s">
        <v>34</v>
      </c>
      <c r="F312" s="14" t="s">
        <v>219</v>
      </c>
      <c r="G312" s="14" t="s">
        <v>1410</v>
      </c>
      <c r="H312" s="14" t="s">
        <v>48</v>
      </c>
      <c r="I312" s="14" t="s">
        <v>38</v>
      </c>
      <c r="J312" s="14" t="s">
        <v>1411</v>
      </c>
      <c r="K312" s="14" t="s">
        <v>40</v>
      </c>
      <c r="L312" s="16" t="s">
        <v>6</v>
      </c>
      <c r="M312" s="14" t="s">
        <v>104</v>
      </c>
      <c r="N312" s="14" t="s">
        <v>105</v>
      </c>
      <c r="O312" s="14"/>
    </row>
    <row r="313" customFormat="false" ht="68.65" hidden="false" customHeight="false" outlineLevel="0" collapsed="false">
      <c r="A313" s="14" t="n">
        <v>312</v>
      </c>
      <c r="B313" s="14" t="s">
        <v>1412</v>
      </c>
      <c r="C313" s="14" t="s">
        <v>1413</v>
      </c>
      <c r="D313" s="14" t="s">
        <v>45</v>
      </c>
      <c r="E313" s="14" t="s">
        <v>34</v>
      </c>
      <c r="F313" s="14" t="s">
        <v>46</v>
      </c>
      <c r="G313" s="14" t="s">
        <v>1414</v>
      </c>
      <c r="H313" s="14" t="s">
        <v>844</v>
      </c>
      <c r="I313" s="14" t="s">
        <v>49</v>
      </c>
      <c r="J313" s="14" t="s">
        <v>1415</v>
      </c>
      <c r="K313" s="14" t="s">
        <v>40</v>
      </c>
      <c r="L313" s="16" t="s">
        <v>6</v>
      </c>
      <c r="M313" s="14" t="s">
        <v>104</v>
      </c>
      <c r="N313" s="14" t="s">
        <v>105</v>
      </c>
      <c r="O313" s="14"/>
    </row>
  </sheetData>
  <autoFilter ref="A1:O3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24"/>
    <col collapsed="false" customWidth="true" hidden="false" outlineLevel="0" max="4" min="4" style="0" width="34"/>
    <col collapsed="false" customWidth="true" hidden="false" outlineLevel="0" max="5" min="5" style="0" width="44"/>
    <col collapsed="false" customWidth="true" hidden="false" outlineLevel="0" max="6" min="6" style="0" width="24"/>
    <col collapsed="false" customWidth="true" hidden="false" outlineLevel="0" max="7" min="7" style="0" width="26"/>
    <col collapsed="false" customWidth="true" hidden="false" outlineLevel="0" max="8" min="8" style="0" width="34"/>
    <col collapsed="false" customWidth="true" hidden="false" outlineLevel="0" max="9" min="9" style="0" width="30"/>
    <col collapsed="false" customWidth="true" hidden="false" outlineLevel="0" max="10" min="10" style="0" width="16"/>
    <col collapsed="false" customWidth="true" hidden="false" outlineLevel="0" max="11" min="11" style="0" width="52"/>
    <col collapsed="false" customWidth="true" hidden="false" outlineLevel="0" max="12" min="12" style="0" width="22"/>
  </cols>
  <sheetData>
    <row r="1" customFormat="false" ht="41.75" hidden="false" customHeight="false" outlineLevel="0" collapsed="false">
      <c r="A1" s="13" t="s">
        <v>1416</v>
      </c>
      <c r="B1" s="13" t="s">
        <v>17</v>
      </c>
      <c r="C1" s="13" t="s">
        <v>18</v>
      </c>
      <c r="D1" s="13" t="s">
        <v>1417</v>
      </c>
      <c r="E1" s="13" t="s">
        <v>1418</v>
      </c>
      <c r="F1" s="13" t="s">
        <v>1419</v>
      </c>
      <c r="G1" s="13" t="s">
        <v>1420</v>
      </c>
      <c r="H1" s="13" t="s">
        <v>1421</v>
      </c>
      <c r="I1" s="13" t="s">
        <v>1422</v>
      </c>
      <c r="J1" s="13" t="s">
        <v>1423</v>
      </c>
      <c r="K1" s="13" t="s">
        <v>30</v>
      </c>
      <c r="L1" s="13" t="s">
        <v>1424</v>
      </c>
    </row>
    <row r="2" customFormat="false" ht="82.05" hidden="false" customHeight="false" outlineLevel="0" collapsed="false">
      <c r="A2" s="19" t="s">
        <v>1425</v>
      </c>
      <c r="B2" s="14" t="n">
        <v>128</v>
      </c>
      <c r="C2" s="14" t="s">
        <v>1426</v>
      </c>
      <c r="D2" s="14" t="s">
        <v>1427</v>
      </c>
      <c r="E2" s="14" t="s">
        <v>1428</v>
      </c>
      <c r="F2" s="14" t="s">
        <v>1429</v>
      </c>
      <c r="G2" s="14" t="s">
        <v>1430</v>
      </c>
      <c r="H2" s="14" t="s">
        <v>1431</v>
      </c>
      <c r="I2" s="14" t="s">
        <v>1432</v>
      </c>
      <c r="J2" s="14" t="s">
        <v>1433</v>
      </c>
      <c r="K2" s="14" t="s">
        <v>1434</v>
      </c>
      <c r="L2" s="14" t="s">
        <v>1435</v>
      </c>
    </row>
    <row r="3" customFormat="false" ht="68.65" hidden="false" customHeight="false" outlineLevel="0" collapsed="false">
      <c r="A3" s="19" t="s">
        <v>1425</v>
      </c>
      <c r="B3" s="14" t="n">
        <v>102</v>
      </c>
      <c r="C3" s="14" t="s">
        <v>1436</v>
      </c>
      <c r="D3" s="14" t="s">
        <v>1437</v>
      </c>
      <c r="E3" s="14" t="s">
        <v>1438</v>
      </c>
      <c r="F3" s="14" t="s">
        <v>1439</v>
      </c>
      <c r="G3" s="14" t="s">
        <v>1440</v>
      </c>
      <c r="H3" s="14" t="s">
        <v>1441</v>
      </c>
      <c r="I3" s="14" t="s">
        <v>1442</v>
      </c>
      <c r="J3" s="14" t="s">
        <v>1443</v>
      </c>
      <c r="K3" s="14" t="s">
        <v>1444</v>
      </c>
      <c r="L3" s="14" t="s">
        <v>1445</v>
      </c>
    </row>
    <row r="4" customFormat="false" ht="68.65" hidden="false" customHeight="false" outlineLevel="0" collapsed="false">
      <c r="A4" s="19" t="s">
        <v>1425</v>
      </c>
      <c r="B4" s="14" t="n">
        <v>78</v>
      </c>
      <c r="C4" s="14" t="s">
        <v>1446</v>
      </c>
      <c r="D4" s="14" t="s">
        <v>1447</v>
      </c>
      <c r="E4" s="14" t="s">
        <v>1448</v>
      </c>
      <c r="F4" s="14" t="s">
        <v>1449</v>
      </c>
      <c r="G4" s="14" t="s">
        <v>1450</v>
      </c>
      <c r="H4" s="14" t="s">
        <v>1451</v>
      </c>
      <c r="I4" s="14" t="s">
        <v>1452</v>
      </c>
      <c r="J4" s="14" t="s">
        <v>1453</v>
      </c>
      <c r="K4" s="14" t="s">
        <v>1454</v>
      </c>
      <c r="L4" s="14" t="s">
        <v>1455</v>
      </c>
    </row>
    <row r="5" customFormat="false" ht="68.65" hidden="false" customHeight="false" outlineLevel="0" collapsed="false">
      <c r="A5" s="18" t="s">
        <v>1456</v>
      </c>
      <c r="B5" s="14" t="n">
        <v>85</v>
      </c>
      <c r="C5" s="14" t="s">
        <v>1457</v>
      </c>
      <c r="D5" s="14" t="s">
        <v>1458</v>
      </c>
      <c r="E5" s="14" t="s">
        <v>1459</v>
      </c>
      <c r="F5" s="14" t="s">
        <v>1460</v>
      </c>
      <c r="G5" s="14" t="s">
        <v>1461</v>
      </c>
      <c r="H5" s="14" t="s">
        <v>1462</v>
      </c>
      <c r="I5" s="14" t="s">
        <v>1463</v>
      </c>
      <c r="J5" s="14" t="s">
        <v>1443</v>
      </c>
      <c r="K5" s="14" t="s">
        <v>1464</v>
      </c>
      <c r="L5" s="14" t="s">
        <v>1465</v>
      </c>
    </row>
    <row r="6" customFormat="false" ht="55.2" hidden="false" customHeight="false" outlineLevel="0" collapsed="false">
      <c r="A6" s="18" t="s">
        <v>1456</v>
      </c>
      <c r="B6" s="14" t="n">
        <v>91</v>
      </c>
      <c r="C6" s="14" t="s">
        <v>1466</v>
      </c>
      <c r="D6" s="14" t="s">
        <v>1467</v>
      </c>
      <c r="E6" s="14" t="s">
        <v>1468</v>
      </c>
      <c r="F6" s="14" t="s">
        <v>1469</v>
      </c>
      <c r="G6" s="14" t="s">
        <v>40</v>
      </c>
      <c r="H6" s="14" t="s">
        <v>1470</v>
      </c>
      <c r="I6" s="14" t="s">
        <v>1471</v>
      </c>
      <c r="J6" s="14" t="s">
        <v>1453</v>
      </c>
      <c r="K6" s="14" t="s">
        <v>1472</v>
      </c>
      <c r="L6" s="14" t="s">
        <v>1465</v>
      </c>
    </row>
    <row r="7" customFormat="false" ht="162.65" hidden="false" customHeight="false" outlineLevel="0" collapsed="false">
      <c r="A7" s="18" t="s">
        <v>1456</v>
      </c>
      <c r="B7" s="14" t="n">
        <v>177</v>
      </c>
      <c r="C7" s="14" t="s">
        <v>1473</v>
      </c>
      <c r="D7" s="14" t="s">
        <v>1474</v>
      </c>
      <c r="E7" s="14" t="s">
        <v>1475</v>
      </c>
      <c r="F7" s="14" t="s">
        <v>1476</v>
      </c>
      <c r="G7" s="14" t="s">
        <v>1477</v>
      </c>
      <c r="H7" s="14" t="s">
        <v>1478</v>
      </c>
      <c r="I7" s="14" t="s">
        <v>1479</v>
      </c>
      <c r="J7" s="14" t="s">
        <v>1480</v>
      </c>
      <c r="K7" s="14" t="s">
        <v>1481</v>
      </c>
    </row>
    <row r="8" customFormat="false" ht="149.25" hidden="false" customHeight="false" outlineLevel="0" collapsed="false">
      <c r="A8" s="18" t="s">
        <v>1456</v>
      </c>
      <c r="B8" s="14" t="s">
        <v>1482</v>
      </c>
      <c r="C8" s="14" t="s">
        <v>1483</v>
      </c>
      <c r="D8" s="14" t="s">
        <v>1484</v>
      </c>
      <c r="E8" s="14" t="s">
        <v>1485</v>
      </c>
      <c r="F8" s="14" t="s">
        <v>1476</v>
      </c>
      <c r="G8" s="14" t="s">
        <v>1477</v>
      </c>
      <c r="H8" s="14" t="s">
        <v>1486</v>
      </c>
      <c r="I8" s="14" t="s">
        <v>1487</v>
      </c>
      <c r="J8" s="14" t="s">
        <v>1488</v>
      </c>
      <c r="K8" s="14" t="s">
        <v>1489</v>
      </c>
    </row>
    <row r="9" customFormat="false" ht="55.2" hidden="false" customHeight="false" outlineLevel="0" collapsed="false">
      <c r="A9" s="17" t="s">
        <v>1490</v>
      </c>
      <c r="B9" s="14" t="n">
        <v>199</v>
      </c>
      <c r="C9" s="14" t="s">
        <v>1491</v>
      </c>
      <c r="D9" s="14" t="s">
        <v>1492</v>
      </c>
      <c r="E9" s="14" t="s">
        <v>1493</v>
      </c>
      <c r="F9" s="14" t="s">
        <v>1494</v>
      </c>
      <c r="G9" s="14" t="s">
        <v>1495</v>
      </c>
      <c r="H9" s="14" t="s">
        <v>1496</v>
      </c>
      <c r="I9" s="14" t="s">
        <v>1497</v>
      </c>
      <c r="J9" s="14" t="s">
        <v>1498</v>
      </c>
      <c r="K9" s="14" t="s">
        <v>1499</v>
      </c>
      <c r="L9" s="14" t="s">
        <v>1500</v>
      </c>
    </row>
    <row r="10" customFormat="false" ht="41.75" hidden="false" customHeight="false" outlineLevel="0" collapsed="false">
      <c r="A10" s="17" t="s">
        <v>1490</v>
      </c>
      <c r="B10" s="14" t="n">
        <v>210</v>
      </c>
      <c r="C10" s="14" t="s">
        <v>1501</v>
      </c>
      <c r="D10" s="14" t="s">
        <v>1502</v>
      </c>
      <c r="E10" s="14" t="s">
        <v>1503</v>
      </c>
      <c r="F10" s="14" t="s">
        <v>1504</v>
      </c>
      <c r="G10" s="14" t="s">
        <v>1495</v>
      </c>
      <c r="H10" s="14" t="s">
        <v>1505</v>
      </c>
      <c r="I10" s="14" t="s">
        <v>1453</v>
      </c>
      <c r="J10" s="14" t="s">
        <v>1506</v>
      </c>
      <c r="K10" s="14" t="s">
        <v>1507</v>
      </c>
      <c r="L10" s="14" t="s">
        <v>1508</v>
      </c>
    </row>
    <row r="11" customFormat="false" ht="41.75" hidden="false" customHeight="false" outlineLevel="0" collapsed="false">
      <c r="A11" s="17" t="s">
        <v>1490</v>
      </c>
      <c r="B11" s="14" t="s">
        <v>1509</v>
      </c>
      <c r="C11" s="14" t="s">
        <v>1510</v>
      </c>
      <c r="D11" s="14" t="s">
        <v>1511</v>
      </c>
      <c r="E11" s="14" t="s">
        <v>1512</v>
      </c>
      <c r="F11" s="14" t="s">
        <v>1513</v>
      </c>
      <c r="G11" s="14" t="s">
        <v>1495</v>
      </c>
      <c r="H11" s="14" t="s">
        <v>1514</v>
      </c>
      <c r="I11" s="14" t="s">
        <v>1471</v>
      </c>
      <c r="J11" s="14" t="s">
        <v>1471</v>
      </c>
      <c r="K11" s="14" t="s">
        <v>1515</v>
      </c>
      <c r="L11" s="14" t="s">
        <v>1508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customHeight="true"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40"/>
    <col collapsed="false" customWidth="true" hidden="false" outlineLevel="0" max="4" min="4" style="0" width="55"/>
    <col collapsed="false" customWidth="true" hidden="false" outlineLevel="0" max="5" min="5" style="0" width="20"/>
  </cols>
  <sheetData>
    <row r="1" customFormat="false" ht="15" hidden="false" customHeight="false" outlineLevel="0" collapsed="false">
      <c r="A1" s="13" t="s">
        <v>17</v>
      </c>
      <c r="B1" s="13" t="s">
        <v>1516</v>
      </c>
      <c r="C1" s="13" t="s">
        <v>1517</v>
      </c>
      <c r="D1" s="13" t="s">
        <v>1518</v>
      </c>
      <c r="E1" s="13" t="s">
        <v>1519</v>
      </c>
    </row>
    <row r="2" customFormat="false" ht="15" hidden="false" customHeight="false" outlineLevel="0" collapsed="false">
      <c r="A2" s="14" t="n">
        <v>25</v>
      </c>
      <c r="B2" s="14" t="s">
        <v>1520</v>
      </c>
      <c r="C2" s="14" t="s">
        <v>159</v>
      </c>
      <c r="D2" s="14" t="s">
        <v>1521</v>
      </c>
      <c r="E2" s="14" t="s">
        <v>1522</v>
      </c>
    </row>
    <row r="3" customFormat="false" ht="15" hidden="false" customHeight="false" outlineLevel="0" collapsed="false">
      <c r="A3" s="14" t="n">
        <v>76</v>
      </c>
      <c r="B3" s="14" t="s">
        <v>1520</v>
      </c>
      <c r="C3" s="14" t="s">
        <v>389</v>
      </c>
      <c r="D3" s="14" t="s">
        <v>1523</v>
      </c>
      <c r="E3" s="14" t="s">
        <v>1524</v>
      </c>
    </row>
    <row r="4" customFormat="false" ht="28.35" hidden="false" customHeight="false" outlineLevel="0" collapsed="false">
      <c r="A4" s="14" t="n">
        <v>78</v>
      </c>
      <c r="B4" s="14" t="s">
        <v>1525</v>
      </c>
      <c r="C4" s="14" t="s">
        <v>1526</v>
      </c>
      <c r="D4" s="14" t="s">
        <v>1527</v>
      </c>
      <c r="E4" s="14" t="s">
        <v>1528</v>
      </c>
    </row>
    <row r="5" customFormat="false" ht="28.35" hidden="false" customHeight="false" outlineLevel="0" collapsed="false">
      <c r="A5" s="14" t="n">
        <v>93</v>
      </c>
      <c r="B5" s="14" t="s">
        <v>1520</v>
      </c>
      <c r="C5" s="14" t="s">
        <v>470</v>
      </c>
      <c r="D5" s="14" t="s">
        <v>1529</v>
      </c>
      <c r="E5" s="14" t="s">
        <v>1530</v>
      </c>
    </row>
    <row r="6" customFormat="false" ht="15" hidden="false" customHeight="false" outlineLevel="0" collapsed="false">
      <c r="A6" s="14" t="n">
        <v>96</v>
      </c>
      <c r="B6" s="14" t="s">
        <v>1520</v>
      </c>
      <c r="C6" s="14" t="s">
        <v>484</v>
      </c>
      <c r="D6" s="14" t="s">
        <v>1531</v>
      </c>
      <c r="E6" s="14" t="s">
        <v>1532</v>
      </c>
    </row>
    <row r="7" customFormat="false" ht="28.35" hidden="false" customHeight="false" outlineLevel="0" collapsed="false">
      <c r="A7" s="14" t="n">
        <v>102</v>
      </c>
      <c r="B7" s="14" t="s">
        <v>1525</v>
      </c>
      <c r="C7" s="14" t="s">
        <v>1533</v>
      </c>
      <c r="D7" s="14" t="s">
        <v>1534</v>
      </c>
      <c r="E7" s="14" t="s">
        <v>1535</v>
      </c>
    </row>
    <row r="8" customFormat="false" ht="28.35" hidden="false" customHeight="false" outlineLevel="0" collapsed="false">
      <c r="A8" s="14" t="n">
        <v>104</v>
      </c>
      <c r="B8" s="14" t="s">
        <v>1536</v>
      </c>
      <c r="C8" s="14" t="s">
        <v>1537</v>
      </c>
      <c r="D8" s="14" t="s">
        <v>1538</v>
      </c>
      <c r="E8" s="14" t="s">
        <v>1539</v>
      </c>
    </row>
    <row r="9" customFormat="false" ht="28.35" hidden="false" customHeight="false" outlineLevel="0" collapsed="false">
      <c r="A9" s="14" t="n">
        <v>108</v>
      </c>
      <c r="B9" s="14" t="s">
        <v>1540</v>
      </c>
      <c r="C9" s="14" t="s">
        <v>1541</v>
      </c>
      <c r="D9" s="14" t="s">
        <v>1542</v>
      </c>
      <c r="E9" s="14" t="s">
        <v>1543</v>
      </c>
    </row>
    <row r="10" customFormat="false" ht="28.35" hidden="false" customHeight="false" outlineLevel="0" collapsed="false">
      <c r="A10" s="14" t="n">
        <v>128</v>
      </c>
      <c r="B10" s="14" t="s">
        <v>1544</v>
      </c>
      <c r="C10" s="14" t="s">
        <v>1545</v>
      </c>
      <c r="D10" s="14" t="s">
        <v>1546</v>
      </c>
      <c r="E10" s="14" t="s">
        <v>1547</v>
      </c>
    </row>
    <row r="11" customFormat="false" ht="15" hidden="false" customHeight="false" outlineLevel="0" collapsed="false">
      <c r="A11" s="14" t="n">
        <v>134</v>
      </c>
      <c r="B11" s="14" t="s">
        <v>1520</v>
      </c>
      <c r="C11" s="14" t="s">
        <v>652</v>
      </c>
      <c r="D11" s="14" t="s">
        <v>1548</v>
      </c>
      <c r="E11" s="14" t="s">
        <v>1549</v>
      </c>
    </row>
    <row r="12" customFormat="false" ht="41.75" hidden="false" customHeight="false" outlineLevel="0" collapsed="false">
      <c r="A12" s="14" t="n">
        <v>147</v>
      </c>
      <c r="B12" s="14" t="s">
        <v>1550</v>
      </c>
      <c r="C12" s="14" t="s">
        <v>1551</v>
      </c>
      <c r="D12" s="14" t="s">
        <v>1552</v>
      </c>
      <c r="E12" s="14" t="s">
        <v>1553</v>
      </c>
    </row>
    <row r="13" customFormat="false" ht="28.35" hidden="false" customHeight="false" outlineLevel="0" collapsed="false">
      <c r="A13" s="14" t="n">
        <v>152</v>
      </c>
      <c r="B13" s="14" t="s">
        <v>1554</v>
      </c>
      <c r="C13" s="14" t="s">
        <v>1555</v>
      </c>
      <c r="D13" s="14" t="s">
        <v>1556</v>
      </c>
      <c r="E13" s="14" t="s">
        <v>1557</v>
      </c>
    </row>
    <row r="14" customFormat="false" ht="15" hidden="false" customHeight="false" outlineLevel="0" collapsed="false">
      <c r="A14" s="14" t="n">
        <v>158</v>
      </c>
      <c r="B14" s="14" t="s">
        <v>22</v>
      </c>
      <c r="C14" s="14" t="s">
        <v>1558</v>
      </c>
      <c r="D14" s="14" t="s">
        <v>1559</v>
      </c>
      <c r="E14" s="14" t="s">
        <v>1560</v>
      </c>
    </row>
    <row r="15" customFormat="false" ht="41.75" hidden="false" customHeight="false" outlineLevel="0" collapsed="false">
      <c r="A15" s="14" t="n">
        <v>168</v>
      </c>
      <c r="B15" s="14" t="s">
        <v>1550</v>
      </c>
      <c r="C15" s="14" t="s">
        <v>1561</v>
      </c>
      <c r="D15" s="14" t="s">
        <v>1562</v>
      </c>
      <c r="E15" s="14" t="s">
        <v>1563</v>
      </c>
    </row>
    <row r="16" customFormat="false" ht="28.35" hidden="false" customHeight="false" outlineLevel="0" collapsed="false">
      <c r="A16" s="14" t="n">
        <v>175</v>
      </c>
      <c r="B16" s="14" t="s">
        <v>1550</v>
      </c>
      <c r="C16" s="14" t="s">
        <v>1564</v>
      </c>
      <c r="D16" s="14" t="s">
        <v>1565</v>
      </c>
      <c r="E16" s="14" t="s">
        <v>1566</v>
      </c>
    </row>
    <row r="17" customFormat="false" ht="28.35" hidden="false" customHeight="false" outlineLevel="0" collapsed="false">
      <c r="A17" s="14" t="n">
        <v>177</v>
      </c>
      <c r="B17" s="14" t="s">
        <v>1567</v>
      </c>
      <c r="C17" s="14" t="s">
        <v>1568</v>
      </c>
      <c r="D17" s="14" t="s">
        <v>1569</v>
      </c>
      <c r="E17" s="14" t="s">
        <v>1570</v>
      </c>
    </row>
    <row r="18" customFormat="false" ht="15" hidden="false" customHeight="false" outlineLevel="0" collapsed="false">
      <c r="A18" s="14" t="n">
        <v>184</v>
      </c>
      <c r="B18" s="14" t="s">
        <v>22</v>
      </c>
      <c r="C18" s="14" t="s">
        <v>1558</v>
      </c>
      <c r="D18" s="14" t="s">
        <v>1559</v>
      </c>
      <c r="E18" s="14" t="s">
        <v>1571</v>
      </c>
    </row>
    <row r="19" customFormat="false" ht="28.35" hidden="false" customHeight="false" outlineLevel="0" collapsed="false">
      <c r="A19" s="14" t="n">
        <v>189</v>
      </c>
      <c r="B19" s="14" t="s">
        <v>1572</v>
      </c>
      <c r="C19" s="14" t="s">
        <v>1573</v>
      </c>
      <c r="D19" s="14" t="s">
        <v>1574</v>
      </c>
      <c r="E19" s="14" t="s">
        <v>1575</v>
      </c>
    </row>
    <row r="20" customFormat="false" ht="28.35" hidden="false" customHeight="false" outlineLevel="0" collapsed="false">
      <c r="A20" s="14" t="n">
        <v>201</v>
      </c>
      <c r="B20" s="14" t="s">
        <v>1572</v>
      </c>
      <c r="C20" s="14" t="s">
        <v>1576</v>
      </c>
      <c r="D20" s="14" t="s">
        <v>1577</v>
      </c>
      <c r="E20" s="14" t="s">
        <v>1578</v>
      </c>
    </row>
    <row r="21" customFormat="false" ht="28.35" hidden="false" customHeight="false" outlineLevel="0" collapsed="false">
      <c r="A21" s="14" t="n">
        <v>210</v>
      </c>
      <c r="B21" s="14" t="s">
        <v>1579</v>
      </c>
      <c r="C21" s="14" t="s">
        <v>1580</v>
      </c>
      <c r="D21" s="14" t="s">
        <v>1581</v>
      </c>
      <c r="E21" s="14" t="s">
        <v>1582</v>
      </c>
    </row>
    <row r="22" customFormat="false" ht="28.35" hidden="false" customHeight="false" outlineLevel="0" collapsed="false">
      <c r="A22" s="14" t="n">
        <v>245</v>
      </c>
      <c r="B22" s="14" t="s">
        <v>1572</v>
      </c>
      <c r="C22" s="14" t="s">
        <v>1583</v>
      </c>
      <c r="D22" s="14" t="s">
        <v>1584</v>
      </c>
      <c r="E22" s="14" t="s">
        <v>1585</v>
      </c>
    </row>
    <row r="23" customFormat="false" ht="28.35" hidden="false" customHeight="false" outlineLevel="0" collapsed="false">
      <c r="A23" s="14" t="n">
        <v>267</v>
      </c>
      <c r="B23" s="14" t="s">
        <v>1572</v>
      </c>
      <c r="C23" s="14" t="s">
        <v>1586</v>
      </c>
      <c r="D23" s="14" t="s">
        <v>1587</v>
      </c>
      <c r="E23" s="14" t="s">
        <v>1588</v>
      </c>
    </row>
    <row r="24" customFormat="false" ht="15" hidden="false" customHeight="false" outlineLevel="0" collapsed="false">
      <c r="A24" s="14" t="n">
        <v>44</v>
      </c>
      <c r="B24" s="14" t="s">
        <v>18</v>
      </c>
      <c r="C24" s="14" t="s">
        <v>1589</v>
      </c>
      <c r="D24" s="14" t="s">
        <v>1590</v>
      </c>
      <c r="E24" s="14" t="s">
        <v>1591</v>
      </c>
    </row>
    <row r="25" customFormat="false" ht="15" hidden="false" customHeight="false" outlineLevel="0" collapsed="false">
      <c r="A25" s="14" t="n">
        <v>221</v>
      </c>
      <c r="B25" s="14" t="s">
        <v>1520</v>
      </c>
      <c r="C25" s="14" t="s">
        <v>1032</v>
      </c>
      <c r="D25" s="14" t="s">
        <v>1592</v>
      </c>
      <c r="E25" s="14" t="s">
        <v>1593</v>
      </c>
    </row>
    <row r="26" customFormat="false" ht="15" hidden="false" customHeight="false" outlineLevel="0" collapsed="false">
      <c r="A26" s="14" t="n">
        <v>222</v>
      </c>
      <c r="B26" s="14" t="s">
        <v>1520</v>
      </c>
      <c r="C26" s="14" t="s">
        <v>1038</v>
      </c>
      <c r="D26" s="14" t="s">
        <v>1592</v>
      </c>
      <c r="E26" s="14" t="s">
        <v>1593</v>
      </c>
    </row>
    <row r="27" customFormat="false" ht="28.35" hidden="false" customHeight="false" outlineLevel="0" collapsed="false">
      <c r="A27" s="14" t="n">
        <v>288</v>
      </c>
      <c r="B27" s="14" t="s">
        <v>1594</v>
      </c>
      <c r="C27" s="14" t="s">
        <v>1595</v>
      </c>
      <c r="D27" s="14" t="s">
        <v>1596</v>
      </c>
      <c r="E27" s="14" t="s">
        <v>1593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2026-09-27T01:36:50Z</dcterms:created>
  <dc:creator>openpyxl</dc:creator>
  <dc:description/>
  <dc:language>en-US</dc:language>
  <cp:lastModifiedBy/>
  <dcterms:modified xsi:type="dcterms:W3CDTF">2026-09-27T01:36:50Z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